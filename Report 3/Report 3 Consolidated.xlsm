
<file path=[Content_Types].xml><?xml version="1.0" encoding="utf-8"?>
<Types xmlns="http://schemas.openxmlformats.org/package/2006/content-types"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/>
  <mc:AlternateContent xmlns:mc="http://schemas.openxmlformats.org/markup-compatibility/2006">
    <mc:Choice Requires="x15">
      <x15ac:absPath xmlns:x15ac="http://schemas.microsoft.com/office/spreadsheetml/2010/11/ac" url="/Users/canaan/Desktop/"/>
    </mc:Choice>
  </mc:AlternateContent>
  <xr:revisionPtr revIDLastSave="0" documentId="13_ncr:1_{26B4E541-D0F4-7A4C-83C2-F00D2B728A26}" xr6:coauthVersionLast="45" xr6:coauthVersionMax="45" xr10:uidLastSave="{00000000-0000-0000-0000-000000000000}"/>
  <bookViews>
    <workbookView xWindow="16280" yWindow="460" windowWidth="12520" windowHeight="16800" activeTab="6" xr2:uid="{00000000-000D-0000-FFFF-FFFF00000000}"/>
  </bookViews>
  <sheets>
    <sheet name="KMB Share Price" sheetId="1" r:id="rId1"/>
    <sheet name="CL Share Price" sheetId="8" r:id="rId2"/>
    <sheet name="PG Share Price" sheetId="9" r:id="rId3"/>
    <sheet name="S&amp;P 500 Index Value" sheetId="4" r:id="rId4"/>
    <sheet name="S&amp;P 500 Household Products" sheetId="5" r:id="rId5"/>
    <sheet name="Daily Returns &amp; Scatterplot" sheetId="6" r:id="rId6"/>
    <sheet name="Geometric Average" sheetId="7" r:id="rId7"/>
    <sheet name="Raw" sheetId="2" state="hidden" r:id="rId8"/>
  </sheets>
  <externalReferences>
    <externalReference r:id="rId9"/>
    <externalReference r:id="rId10"/>
    <externalReference r:id="rId11"/>
    <externalReference r:id="rId1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5" i="7" l="1"/>
  <c r="J25" i="7"/>
  <c r="K25" i="7"/>
  <c r="L25" i="7"/>
  <c r="L4" i="7"/>
  <c r="I4" i="7"/>
  <c r="K4" i="7"/>
  <c r="J4" i="7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290" i="5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290" i="4"/>
  <c r="C290" i="9"/>
  <c r="M4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5" i="7"/>
  <c r="I5" i="7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M257" i="6"/>
  <c r="M256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4" i="6"/>
  <c r="J4" i="6"/>
  <c r="B35" i="9"/>
  <c r="B34" i="9"/>
  <c r="L5" i="7" l="1"/>
  <c r="K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I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6" i="6"/>
  <c r="B263" i="6" s="1"/>
  <c r="L4" i="6"/>
  <c r="B35" i="8"/>
  <c r="B34" i="8"/>
  <c r="B34" i="1"/>
  <c r="J257" i="6" l="1"/>
  <c r="C263" i="6" s="1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5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11" i="7"/>
  <c r="I10" i="7"/>
  <c r="I9" i="7"/>
  <c r="I8" i="7"/>
  <c r="I7" i="7"/>
  <c r="I6" i="7"/>
  <c r="L37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I8" i="6"/>
  <c r="K4" i="6"/>
  <c r="I5" i="6"/>
  <c r="I6" i="6"/>
  <c r="I7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B35" i="5"/>
  <c r="B34" i="5"/>
  <c r="B35" i="4"/>
  <c r="B34" i="4"/>
  <c r="B35" i="1"/>
  <c r="I256" i="6" l="1"/>
  <c r="L256" i="6"/>
  <c r="K256" i="6"/>
  <c r="I257" i="6"/>
  <c r="K257" i="6"/>
  <c r="L257" i="6"/>
</calcChain>
</file>

<file path=xl/sharedStrings.xml><?xml version="1.0" encoding="utf-8"?>
<sst xmlns="http://schemas.openxmlformats.org/spreadsheetml/2006/main" count="58" uniqueCount="18">
  <si>
    <t>Dates</t>
  </si>
  <si>
    <r>
      <rPr>
        <sz val="10"/>
        <rFont val="Arial"/>
        <family val="2"/>
      </rPr>
      <t>Kimberly-Clark Corporation (NYSE:KMB) - Share Pricing</t>
    </r>
  </si>
  <si>
    <r>
      <rPr>
        <sz val="10"/>
        <rFont val="Arial"/>
        <family val="2"/>
      </rPr>
      <t>S&amp;P 500 (^SPX) - Index Value</t>
    </r>
  </si>
  <si>
    <r>
      <rPr>
        <sz val="10"/>
        <rFont val="Arial"/>
        <family val="2"/>
      </rPr>
      <t>S&amp;P 500 Household Products (Industry) (^SP500-303010) - Index Value</t>
    </r>
  </si>
  <si>
    <t>Mean</t>
  </si>
  <si>
    <t>SD</t>
  </si>
  <si>
    <t>Daily Prices &amp; Values</t>
  </si>
  <si>
    <t>Daily Returns</t>
  </si>
  <si>
    <t xml:space="preserve">Mean </t>
  </si>
  <si>
    <t>KMB</t>
  </si>
  <si>
    <t>S&amp;P 500 Household Products</t>
  </si>
  <si>
    <t>S&amp;P 500</t>
  </si>
  <si>
    <t>Holding Period Returns</t>
  </si>
  <si>
    <t>Colgate-Palmolive Company (NYSE:CL) - Share Pricing</t>
  </si>
  <si>
    <t>CL</t>
  </si>
  <si>
    <r>
      <rPr>
        <sz val="10"/>
        <rFont val="Arial"/>
        <family val="2"/>
      </rPr>
      <t>The Procter &amp; Gamble Company (NYSE:PG) - Share Pricing</t>
    </r>
  </si>
  <si>
    <t>PG</t>
  </si>
  <si>
    <t>Daily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</si>
</sst>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dd\-yyyy;@"/>
  </numFmts>
  <fonts count="2" x14ac:knownFonts="1"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64" fontId="0" fillId="0" borderId="0" xfId="0" applyNumberFormat="1" applyFont="1" applyFill="1" applyBorder="1" applyAlignment="1" applyProtection="1">
      <alignment vertical="center"/>
    </xf>
    <xf numFmtId="2" fontId="0" fillId="0" borderId="0" xfId="0" applyNumberFormat="1" applyFont="1" applyFill="1" applyBorder="1" applyAlignment="1" applyProtection="1">
      <alignment vertical="center"/>
    </xf>
    <xf numFmtId="2" fontId="0" fillId="0" borderId="0" xfId="0" applyNumberFormat="1">
      <alignment vertical="center"/>
    </xf>
    <xf numFmtId="0" fontId="0" fillId="2" borderId="0" xfId="0" applyFill="1">
      <alignment vertical="center"/>
    </xf>
    <xf numFmtId="164" fontId="0" fillId="2" borderId="0" xfId="0" applyNumberFormat="1" applyFont="1" applyFill="1" applyBorder="1" applyAlignment="1" applyProtection="1">
      <alignment vertical="center"/>
    </xf>
    <xf numFmtId="2" fontId="0" fillId="2" borderId="0" xfId="0" applyNumberFormat="1" applyFont="1" applyFill="1" applyBorder="1" applyAlignment="1" applyProtection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2" fontId="0" fillId="2" borderId="0" xfId="0" applyNumberFormat="1" applyFill="1">
      <alignment vertical="center"/>
    </xf>
    <xf numFmtId="0" fontId="1" fillId="2" borderId="0" xfId="0" applyFont="1" applyFill="1" applyAlignment="1">
      <alignment horizontal="center" vertical="center"/>
    </xf>
    <xf numFmtId="164" fontId="0" fillId="0" borderId="0" xfId="0" applyNumberFormat="1">
      <alignment vertical="center"/>
    </xf>
    <xf numFmtId="2" fontId="0" fillId="0" borderId="0" xfId="0" applyNumberFormat="1" applyFill="1">
      <alignment vertical="center"/>
    </xf>
    <xf numFmtId="164" fontId="0" fillId="2" borderId="0" xfId="0" applyNumberFormat="1" applyFill="1">
      <alignment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09789427997019"/>
          <c:y val="3.14146452999846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162564912886093E-2"/>
          <c:y val="0.17016266204158365"/>
          <c:w val="0.92627590878040522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Kimberly-Clark Corporation (NYSE:KMB) - Share Pricing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'KMB Share Price'!$A$37:$A$311</c:f>
              <c:numCache>
                <c:formatCode>[$-409]mmm\-dd\-yyyy;@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'KMB Share Price'!$B$37:$B$311</c:f>
              <c:numCache>
                <c:formatCode>0.00</c:formatCode>
                <c:ptCount val="275"/>
                <c:pt idx="0">
                  <c:v>115.68</c:v>
                </c:pt>
                <c:pt idx="1">
                  <c:v>116.44</c:v>
                </c:pt>
                <c:pt idx="2">
                  <c:v>116.68</c:v>
                </c:pt>
                <c:pt idx="3">
                  <c:v>116.13</c:v>
                </c:pt>
                <c:pt idx="4">
                  <c:v>115.18</c:v>
                </c:pt>
                <c:pt idx="5">
                  <c:v>115.88</c:v>
                </c:pt>
                <c:pt idx="6">
                  <c:v>117.59</c:v>
                </c:pt>
                <c:pt idx="7">
                  <c:v>117.78</c:v>
                </c:pt>
                <c:pt idx="8">
                  <c:v>118.47</c:v>
                </c:pt>
                <c:pt idx="9">
                  <c:v>118.45</c:v>
                </c:pt>
                <c:pt idx="10">
                  <c:v>120.19</c:v>
                </c:pt>
                <c:pt idx="11">
                  <c:v>119.57</c:v>
                </c:pt>
                <c:pt idx="12">
                  <c:v>119.94</c:v>
                </c:pt>
                <c:pt idx="13">
                  <c:v>119.57</c:v>
                </c:pt>
                <c:pt idx="14">
                  <c:v>121.46</c:v>
                </c:pt>
                <c:pt idx="15">
                  <c:v>122.05</c:v>
                </c:pt>
                <c:pt idx="16">
                  <c:v>121.91</c:v>
                </c:pt>
                <c:pt idx="17">
                  <c:v>123.08</c:v>
                </c:pt>
                <c:pt idx="18">
                  <c:v>123.35</c:v>
                </c:pt>
                <c:pt idx="19">
                  <c:v>123.89</c:v>
                </c:pt>
                <c:pt idx="20">
                  <c:v>123.9</c:v>
                </c:pt>
                <c:pt idx="21">
                  <c:v>122.77</c:v>
                </c:pt>
                <c:pt idx="22">
                  <c:v>122.65</c:v>
                </c:pt>
                <c:pt idx="23">
                  <c:v>121.77</c:v>
                </c:pt>
                <c:pt idx="24">
                  <c:v>121.99</c:v>
                </c:pt>
                <c:pt idx="25">
                  <c:v>121.92</c:v>
                </c:pt>
                <c:pt idx="26">
                  <c:v>121.64</c:v>
                </c:pt>
                <c:pt idx="27">
                  <c:v>121.34</c:v>
                </c:pt>
                <c:pt idx="28">
                  <c:v>121.66</c:v>
                </c:pt>
                <c:pt idx="29">
                  <c:v>122.57</c:v>
                </c:pt>
                <c:pt idx="30">
                  <c:v>123.18</c:v>
                </c:pt>
                <c:pt idx="31">
                  <c:v>123</c:v>
                </c:pt>
                <c:pt idx="32">
                  <c:v>123.32</c:v>
                </c:pt>
                <c:pt idx="33">
                  <c:v>123.45</c:v>
                </c:pt>
                <c:pt idx="34">
                  <c:v>123.55</c:v>
                </c:pt>
                <c:pt idx="35">
                  <c:v>130.25</c:v>
                </c:pt>
                <c:pt idx="36">
                  <c:v>125.62</c:v>
                </c:pt>
                <c:pt idx="37">
                  <c:v>124.4</c:v>
                </c:pt>
                <c:pt idx="38">
                  <c:v>124.01</c:v>
                </c:pt>
                <c:pt idx="39">
                  <c:v>125.74</c:v>
                </c:pt>
                <c:pt idx="40">
                  <c:v>125.25</c:v>
                </c:pt>
                <c:pt idx="41">
                  <c:v>128.38</c:v>
                </c:pt>
                <c:pt idx="42">
                  <c:v>125.47</c:v>
                </c:pt>
                <c:pt idx="43">
                  <c:v>127.26</c:v>
                </c:pt>
                <c:pt idx="44">
                  <c:v>127.5</c:v>
                </c:pt>
                <c:pt idx="45">
                  <c:v>127.9</c:v>
                </c:pt>
                <c:pt idx="46">
                  <c:v>126.18</c:v>
                </c:pt>
                <c:pt idx="47">
                  <c:v>126.89</c:v>
                </c:pt>
                <c:pt idx="48">
                  <c:v>126.4</c:v>
                </c:pt>
                <c:pt idx="49">
                  <c:v>127.44</c:v>
                </c:pt>
                <c:pt idx="50">
                  <c:v>128.02000000000001</c:v>
                </c:pt>
                <c:pt idx="51">
                  <c:v>127.55</c:v>
                </c:pt>
                <c:pt idx="52">
                  <c:v>128.66999999999999</c:v>
                </c:pt>
                <c:pt idx="53">
                  <c:v>128.72</c:v>
                </c:pt>
                <c:pt idx="54">
                  <c:v>128.93</c:v>
                </c:pt>
                <c:pt idx="55">
                  <c:v>130.11000000000001</c:v>
                </c:pt>
                <c:pt idx="56">
                  <c:v>130.08000000000001</c:v>
                </c:pt>
                <c:pt idx="57">
                  <c:v>130.97999999999999</c:v>
                </c:pt>
                <c:pt idx="58">
                  <c:v>130.91</c:v>
                </c:pt>
                <c:pt idx="59">
                  <c:v>130.63</c:v>
                </c:pt>
                <c:pt idx="60">
                  <c:v>128.62</c:v>
                </c:pt>
                <c:pt idx="61">
                  <c:v>128.41999999999999</c:v>
                </c:pt>
                <c:pt idx="62">
                  <c:v>130.22</c:v>
                </c:pt>
                <c:pt idx="63">
                  <c:v>127.89</c:v>
                </c:pt>
                <c:pt idx="64">
                  <c:v>131.03</c:v>
                </c:pt>
                <c:pt idx="65">
                  <c:v>131.43</c:v>
                </c:pt>
                <c:pt idx="66">
                  <c:v>133.5</c:v>
                </c:pt>
                <c:pt idx="67">
                  <c:v>133.58000000000001</c:v>
                </c:pt>
                <c:pt idx="68">
                  <c:v>134.91</c:v>
                </c:pt>
                <c:pt idx="69">
                  <c:v>134.71</c:v>
                </c:pt>
                <c:pt idx="70">
                  <c:v>134.61000000000001</c:v>
                </c:pt>
                <c:pt idx="71">
                  <c:v>136.31</c:v>
                </c:pt>
                <c:pt idx="72">
                  <c:v>137.32</c:v>
                </c:pt>
                <c:pt idx="73">
                  <c:v>137.65</c:v>
                </c:pt>
                <c:pt idx="74">
                  <c:v>137.19999999999999</c:v>
                </c:pt>
                <c:pt idx="75">
                  <c:v>136.08000000000001</c:v>
                </c:pt>
                <c:pt idx="76">
                  <c:v>135.88</c:v>
                </c:pt>
                <c:pt idx="77">
                  <c:v>136.31</c:v>
                </c:pt>
                <c:pt idx="78">
                  <c:v>135.59</c:v>
                </c:pt>
                <c:pt idx="79">
                  <c:v>137.79</c:v>
                </c:pt>
                <c:pt idx="80">
                  <c:v>136.83000000000001</c:v>
                </c:pt>
                <c:pt idx="81">
                  <c:v>133.41</c:v>
                </c:pt>
                <c:pt idx="82">
                  <c:v>133.91999999999999</c:v>
                </c:pt>
                <c:pt idx="83">
                  <c:v>133.28</c:v>
                </c:pt>
                <c:pt idx="84">
                  <c:v>135.41999999999999</c:v>
                </c:pt>
                <c:pt idx="85">
                  <c:v>136.07</c:v>
                </c:pt>
                <c:pt idx="86">
                  <c:v>138.35</c:v>
                </c:pt>
                <c:pt idx="87">
                  <c:v>137.06</c:v>
                </c:pt>
                <c:pt idx="88">
                  <c:v>138.49</c:v>
                </c:pt>
                <c:pt idx="89">
                  <c:v>136.87</c:v>
                </c:pt>
                <c:pt idx="90">
                  <c:v>137.80000000000001</c:v>
                </c:pt>
                <c:pt idx="91">
                  <c:v>137.41999999999999</c:v>
                </c:pt>
                <c:pt idx="92">
                  <c:v>138.76</c:v>
                </c:pt>
                <c:pt idx="93">
                  <c:v>139.25</c:v>
                </c:pt>
                <c:pt idx="94">
                  <c:v>138.52000000000001</c:v>
                </c:pt>
                <c:pt idx="95">
                  <c:v>138.03</c:v>
                </c:pt>
                <c:pt idx="96">
                  <c:v>137.54</c:v>
                </c:pt>
                <c:pt idx="97">
                  <c:v>135.74</c:v>
                </c:pt>
                <c:pt idx="98">
                  <c:v>134.26</c:v>
                </c:pt>
                <c:pt idx="99">
                  <c:v>135.05000000000001</c:v>
                </c:pt>
                <c:pt idx="100">
                  <c:v>134.65</c:v>
                </c:pt>
                <c:pt idx="101">
                  <c:v>135.38999999999999</c:v>
                </c:pt>
                <c:pt idx="102">
                  <c:v>137.16999999999999</c:v>
                </c:pt>
                <c:pt idx="103">
                  <c:v>138.25</c:v>
                </c:pt>
                <c:pt idx="104">
                  <c:v>138.30000000000001</c:v>
                </c:pt>
                <c:pt idx="105">
                  <c:v>135.65</c:v>
                </c:pt>
                <c:pt idx="106">
                  <c:v>135.24</c:v>
                </c:pt>
                <c:pt idx="107">
                  <c:v>135.87</c:v>
                </c:pt>
                <c:pt idx="108">
                  <c:v>133.63</c:v>
                </c:pt>
                <c:pt idx="109">
                  <c:v>134.52000000000001</c:v>
                </c:pt>
                <c:pt idx="110">
                  <c:v>136.13</c:v>
                </c:pt>
                <c:pt idx="111">
                  <c:v>138.54</c:v>
                </c:pt>
                <c:pt idx="112">
                  <c:v>138.37</c:v>
                </c:pt>
                <c:pt idx="113">
                  <c:v>138.13</c:v>
                </c:pt>
                <c:pt idx="114">
                  <c:v>139.41999999999999</c:v>
                </c:pt>
                <c:pt idx="115">
                  <c:v>136.71</c:v>
                </c:pt>
                <c:pt idx="116">
                  <c:v>139.27000000000001</c:v>
                </c:pt>
                <c:pt idx="117">
                  <c:v>140.72</c:v>
                </c:pt>
                <c:pt idx="118">
                  <c:v>142.74</c:v>
                </c:pt>
                <c:pt idx="119">
                  <c:v>140.15</c:v>
                </c:pt>
                <c:pt idx="120">
                  <c:v>141.91</c:v>
                </c:pt>
                <c:pt idx="121">
                  <c:v>141.78</c:v>
                </c:pt>
                <c:pt idx="122">
                  <c:v>138.41</c:v>
                </c:pt>
                <c:pt idx="123">
                  <c:v>140.25</c:v>
                </c:pt>
                <c:pt idx="124">
                  <c:v>141.13999999999999</c:v>
                </c:pt>
                <c:pt idx="125">
                  <c:v>141.94999999999999</c:v>
                </c:pt>
                <c:pt idx="126">
                  <c:v>141.84</c:v>
                </c:pt>
                <c:pt idx="127">
                  <c:v>141.11000000000001</c:v>
                </c:pt>
                <c:pt idx="128">
                  <c:v>141.51</c:v>
                </c:pt>
                <c:pt idx="129">
                  <c:v>142.68</c:v>
                </c:pt>
                <c:pt idx="130">
                  <c:v>139.47999999999999</c:v>
                </c:pt>
                <c:pt idx="131">
                  <c:v>138.05000000000001</c:v>
                </c:pt>
                <c:pt idx="132">
                  <c:v>133.27000000000001</c:v>
                </c:pt>
                <c:pt idx="133">
                  <c:v>131.15</c:v>
                </c:pt>
                <c:pt idx="134">
                  <c:v>131.91</c:v>
                </c:pt>
                <c:pt idx="135">
                  <c:v>133.58000000000001</c:v>
                </c:pt>
                <c:pt idx="136">
                  <c:v>132.41</c:v>
                </c:pt>
                <c:pt idx="137">
                  <c:v>128.78</c:v>
                </c:pt>
                <c:pt idx="138">
                  <c:v>131.91999999999999</c:v>
                </c:pt>
                <c:pt idx="139">
                  <c:v>133.09</c:v>
                </c:pt>
                <c:pt idx="140">
                  <c:v>134.12</c:v>
                </c:pt>
                <c:pt idx="141">
                  <c:v>135.04</c:v>
                </c:pt>
                <c:pt idx="142">
                  <c:v>136.83000000000001</c:v>
                </c:pt>
                <c:pt idx="143">
                  <c:v>137.80000000000001</c:v>
                </c:pt>
                <c:pt idx="144">
                  <c:v>137.58000000000001</c:v>
                </c:pt>
                <c:pt idx="145">
                  <c:v>140.11000000000001</c:v>
                </c:pt>
                <c:pt idx="146">
                  <c:v>142.06</c:v>
                </c:pt>
                <c:pt idx="147">
                  <c:v>142.05000000000001</c:v>
                </c:pt>
                <c:pt idx="148">
                  <c:v>141.66</c:v>
                </c:pt>
                <c:pt idx="149">
                  <c:v>139.79</c:v>
                </c:pt>
                <c:pt idx="150">
                  <c:v>139.72</c:v>
                </c:pt>
                <c:pt idx="151">
                  <c:v>141.6</c:v>
                </c:pt>
                <c:pt idx="152">
                  <c:v>140.16</c:v>
                </c:pt>
                <c:pt idx="153">
                  <c:v>137.11000000000001</c:v>
                </c:pt>
                <c:pt idx="154">
                  <c:v>137.35</c:v>
                </c:pt>
                <c:pt idx="155">
                  <c:v>137.88999999999999</c:v>
                </c:pt>
                <c:pt idx="156">
                  <c:v>137.63</c:v>
                </c:pt>
                <c:pt idx="157">
                  <c:v>135.1</c:v>
                </c:pt>
                <c:pt idx="158">
                  <c:v>133.87</c:v>
                </c:pt>
                <c:pt idx="159">
                  <c:v>134.69999999999999</c:v>
                </c:pt>
                <c:pt idx="160">
                  <c:v>135.62</c:v>
                </c:pt>
                <c:pt idx="161">
                  <c:v>137.22</c:v>
                </c:pt>
                <c:pt idx="162">
                  <c:v>139.19</c:v>
                </c:pt>
                <c:pt idx="163">
                  <c:v>129.38</c:v>
                </c:pt>
                <c:pt idx="164">
                  <c:v>134.29</c:v>
                </c:pt>
                <c:pt idx="165">
                  <c:v>135.19</c:v>
                </c:pt>
                <c:pt idx="166">
                  <c:v>134.19999999999999</c:v>
                </c:pt>
                <c:pt idx="167">
                  <c:v>131.88</c:v>
                </c:pt>
                <c:pt idx="168">
                  <c:v>132.94</c:v>
                </c:pt>
                <c:pt idx="169">
                  <c:v>133.66999999999999</c:v>
                </c:pt>
                <c:pt idx="170">
                  <c:v>132.88</c:v>
                </c:pt>
                <c:pt idx="171">
                  <c:v>132.04</c:v>
                </c:pt>
                <c:pt idx="172">
                  <c:v>129.36000000000001</c:v>
                </c:pt>
                <c:pt idx="173">
                  <c:v>130.37</c:v>
                </c:pt>
                <c:pt idx="174">
                  <c:v>131.72</c:v>
                </c:pt>
                <c:pt idx="175">
                  <c:v>131.76</c:v>
                </c:pt>
                <c:pt idx="176">
                  <c:v>131.46</c:v>
                </c:pt>
                <c:pt idx="177">
                  <c:v>131.19999999999999</c:v>
                </c:pt>
                <c:pt idx="178">
                  <c:v>131.35</c:v>
                </c:pt>
                <c:pt idx="179">
                  <c:v>132.41999999999999</c:v>
                </c:pt>
                <c:pt idx="180">
                  <c:v>132.38999999999999</c:v>
                </c:pt>
                <c:pt idx="181">
                  <c:v>131.63</c:v>
                </c:pt>
                <c:pt idx="182">
                  <c:v>132.52000000000001</c:v>
                </c:pt>
                <c:pt idx="183">
                  <c:v>132.94</c:v>
                </c:pt>
                <c:pt idx="184">
                  <c:v>134.6</c:v>
                </c:pt>
                <c:pt idx="185">
                  <c:v>133.36000000000001</c:v>
                </c:pt>
                <c:pt idx="186">
                  <c:v>133.53</c:v>
                </c:pt>
                <c:pt idx="187">
                  <c:v>133.35</c:v>
                </c:pt>
                <c:pt idx="188">
                  <c:v>134.57</c:v>
                </c:pt>
                <c:pt idx="189">
                  <c:v>136.26</c:v>
                </c:pt>
                <c:pt idx="190">
                  <c:v>136.34</c:v>
                </c:pt>
                <c:pt idx="191">
                  <c:v>136.30000000000001</c:v>
                </c:pt>
                <c:pt idx="192">
                  <c:v>136.03</c:v>
                </c:pt>
                <c:pt idx="193">
                  <c:v>137.49</c:v>
                </c:pt>
                <c:pt idx="194">
                  <c:v>136.52000000000001</c:v>
                </c:pt>
                <c:pt idx="195">
                  <c:v>136.97999999999999</c:v>
                </c:pt>
                <c:pt idx="196">
                  <c:v>136.97999999999999</c:v>
                </c:pt>
                <c:pt idx="197">
                  <c:v>136.12</c:v>
                </c:pt>
                <c:pt idx="198">
                  <c:v>136.9</c:v>
                </c:pt>
                <c:pt idx="199">
                  <c:v>135.91999999999999</c:v>
                </c:pt>
                <c:pt idx="200">
                  <c:v>135.94</c:v>
                </c:pt>
                <c:pt idx="201">
                  <c:v>135.82</c:v>
                </c:pt>
                <c:pt idx="202">
                  <c:v>135.21</c:v>
                </c:pt>
                <c:pt idx="203">
                  <c:v>135.19</c:v>
                </c:pt>
                <c:pt idx="204">
                  <c:v>136.74</c:v>
                </c:pt>
                <c:pt idx="205">
                  <c:v>138.01</c:v>
                </c:pt>
                <c:pt idx="206">
                  <c:v>136.97</c:v>
                </c:pt>
                <c:pt idx="207">
                  <c:v>137.22999999999999</c:v>
                </c:pt>
                <c:pt idx="208">
                  <c:v>137.22999999999999</c:v>
                </c:pt>
                <c:pt idx="209">
                  <c:v>138.07</c:v>
                </c:pt>
                <c:pt idx="210">
                  <c:v>136.88999999999999</c:v>
                </c:pt>
                <c:pt idx="211">
                  <c:v>137.55000000000001</c:v>
                </c:pt>
                <c:pt idx="212">
                  <c:v>135.83000000000001</c:v>
                </c:pt>
                <c:pt idx="213">
                  <c:v>135.79</c:v>
                </c:pt>
                <c:pt idx="214">
                  <c:v>136.09</c:v>
                </c:pt>
                <c:pt idx="215">
                  <c:v>135.97</c:v>
                </c:pt>
                <c:pt idx="216">
                  <c:v>137.29</c:v>
                </c:pt>
                <c:pt idx="217">
                  <c:v>139.46</c:v>
                </c:pt>
                <c:pt idx="218">
                  <c:v>140.22999999999999</c:v>
                </c:pt>
                <c:pt idx="219">
                  <c:v>140.9</c:v>
                </c:pt>
                <c:pt idx="220">
                  <c:v>140.99</c:v>
                </c:pt>
                <c:pt idx="221">
                  <c:v>142.16</c:v>
                </c:pt>
                <c:pt idx="222">
                  <c:v>143.43</c:v>
                </c:pt>
                <c:pt idx="223">
                  <c:v>144.5</c:v>
                </c:pt>
                <c:pt idx="224">
                  <c:v>144.59</c:v>
                </c:pt>
                <c:pt idx="225">
                  <c:v>144.38999999999999</c:v>
                </c:pt>
                <c:pt idx="226">
                  <c:v>144.65</c:v>
                </c:pt>
                <c:pt idx="227">
                  <c:v>143.41999999999999</c:v>
                </c:pt>
                <c:pt idx="228">
                  <c:v>143.96</c:v>
                </c:pt>
                <c:pt idx="229">
                  <c:v>144.88999999999999</c:v>
                </c:pt>
                <c:pt idx="230">
                  <c:v>143.19999999999999</c:v>
                </c:pt>
                <c:pt idx="231">
                  <c:v>144.63</c:v>
                </c:pt>
                <c:pt idx="232">
                  <c:v>143.24</c:v>
                </c:pt>
                <c:pt idx="233">
                  <c:v>143.78</c:v>
                </c:pt>
                <c:pt idx="234">
                  <c:v>143.38</c:v>
                </c:pt>
                <c:pt idx="235">
                  <c:v>145.07</c:v>
                </c:pt>
                <c:pt idx="236">
                  <c:v>144.53</c:v>
                </c:pt>
                <c:pt idx="237">
                  <c:v>144.82</c:v>
                </c:pt>
                <c:pt idx="238">
                  <c:v>146.21</c:v>
                </c:pt>
                <c:pt idx="239">
                  <c:v>145.25</c:v>
                </c:pt>
                <c:pt idx="240">
                  <c:v>144.29</c:v>
                </c:pt>
                <c:pt idx="241">
                  <c:v>144.74</c:v>
                </c:pt>
                <c:pt idx="242">
                  <c:v>145.56</c:v>
                </c:pt>
                <c:pt idx="243">
                  <c:v>143.84</c:v>
                </c:pt>
                <c:pt idx="244">
                  <c:v>143.77000000000001</c:v>
                </c:pt>
                <c:pt idx="245">
                  <c:v>142.16999999999999</c:v>
                </c:pt>
                <c:pt idx="246">
                  <c:v>141.35</c:v>
                </c:pt>
                <c:pt idx="247">
                  <c:v>140.12</c:v>
                </c:pt>
                <c:pt idx="248">
                  <c:v>138.97999999999999</c:v>
                </c:pt>
                <c:pt idx="249">
                  <c:v>138.26</c:v>
                </c:pt>
                <c:pt idx="250">
                  <c:v>134.01</c:v>
                </c:pt>
                <c:pt idx="251">
                  <c:v>131.19</c:v>
                </c:pt>
                <c:pt idx="252">
                  <c:v>141.1</c:v>
                </c:pt>
                <c:pt idx="253">
                  <c:v>140.79</c:v>
                </c:pt>
                <c:pt idx="254">
                  <c:v>148.25</c:v>
                </c:pt>
                <c:pt idx="255">
                  <c:v>143.31</c:v>
                </c:pt>
                <c:pt idx="256">
                  <c:v>146.46</c:v>
                </c:pt>
                <c:pt idx="257">
                  <c:v>141.32</c:v>
                </c:pt>
                <c:pt idx="258">
                  <c:v>141.02000000000001</c:v>
                </c:pt>
                <c:pt idx="259">
                  <c:v>134.16</c:v>
                </c:pt>
                <c:pt idx="260">
                  <c:v>122.31</c:v>
                </c:pt>
                <c:pt idx="261">
                  <c:v>134.18</c:v>
                </c:pt>
                <c:pt idx="262">
                  <c:v>134.71</c:v>
                </c:pt>
                <c:pt idx="263">
                  <c:v>144.07</c:v>
                </c:pt>
                <c:pt idx="264">
                  <c:v>134.35</c:v>
                </c:pt>
                <c:pt idx="265">
                  <c:v>126.41</c:v>
                </c:pt>
                <c:pt idx="266">
                  <c:v>118.28</c:v>
                </c:pt>
                <c:pt idx="267">
                  <c:v>112.34</c:v>
                </c:pt>
                <c:pt idx="268">
                  <c:v>117.38</c:v>
                </c:pt>
                <c:pt idx="269">
                  <c:v>116.36</c:v>
                </c:pt>
                <c:pt idx="270">
                  <c:v>124.01</c:v>
                </c:pt>
                <c:pt idx="271">
                  <c:v>124.89</c:v>
                </c:pt>
                <c:pt idx="272">
                  <c:v>132.43</c:v>
                </c:pt>
                <c:pt idx="273">
                  <c:v>127.87</c:v>
                </c:pt>
                <c:pt idx="274">
                  <c:v>125.66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1-4548-98EF-9B604CDF5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4808224"/>
        <c:axId val="1"/>
      </c:lineChart>
      <c:catAx>
        <c:axId val="109480822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[$-409]mmm\-dd\-yyyy;@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152"/>
          <c:min val="108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48082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7419811303189676"/>
          <c:y val="0.93982147189120813"/>
          <c:w val="0.31020481254238397"/>
          <c:h val="4.45040808416449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162564912886093E-2"/>
          <c:y val="0.17016266204158365"/>
          <c:w val="0.92627590878040522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Colgate-Palmolive Company (NYSE:CL) - Share Pricing</c:v>
          </c:tx>
          <c:spPr>
            <a:ln w="3175">
              <a:solidFill>
                <a:srgbClr val="FF9900"/>
              </a:solidFill>
              <a:prstDash val="solid"/>
            </a:ln>
          </c:spPr>
          <c:marker>
            <c:symbol val="none"/>
          </c:marker>
          <c:cat>
            <c:numRef>
              <c:f>'[1]Pane 1'!$A$37:$A$311</c:f>
              <c:numCache>
                <c:formatCode>General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'[1]Pane 1'!$B$37:$B$311</c:f>
              <c:numCache>
                <c:formatCode>General</c:formatCode>
                <c:ptCount val="275"/>
                <c:pt idx="0">
                  <c:v>66</c:v>
                </c:pt>
                <c:pt idx="1">
                  <c:v>66.03</c:v>
                </c:pt>
                <c:pt idx="2">
                  <c:v>65.72</c:v>
                </c:pt>
                <c:pt idx="3">
                  <c:v>65.61</c:v>
                </c:pt>
                <c:pt idx="4">
                  <c:v>65.34</c:v>
                </c:pt>
                <c:pt idx="5">
                  <c:v>65.349999999999994</c:v>
                </c:pt>
                <c:pt idx="6">
                  <c:v>65.849999999999994</c:v>
                </c:pt>
                <c:pt idx="7">
                  <c:v>65.739999999999995</c:v>
                </c:pt>
                <c:pt idx="8">
                  <c:v>66.52</c:v>
                </c:pt>
                <c:pt idx="9">
                  <c:v>66.25</c:v>
                </c:pt>
                <c:pt idx="10">
                  <c:v>67.2</c:v>
                </c:pt>
                <c:pt idx="11">
                  <c:v>66.290000000000006</c:v>
                </c:pt>
                <c:pt idx="12">
                  <c:v>65.75</c:v>
                </c:pt>
                <c:pt idx="13">
                  <c:v>65.11</c:v>
                </c:pt>
                <c:pt idx="14">
                  <c:v>65.83</c:v>
                </c:pt>
                <c:pt idx="15">
                  <c:v>66</c:v>
                </c:pt>
                <c:pt idx="16">
                  <c:v>66.260000000000005</c:v>
                </c:pt>
                <c:pt idx="17">
                  <c:v>66.92</c:v>
                </c:pt>
                <c:pt idx="18">
                  <c:v>67.010000000000005</c:v>
                </c:pt>
                <c:pt idx="19">
                  <c:v>67.37</c:v>
                </c:pt>
                <c:pt idx="20">
                  <c:v>68.540000000000006</c:v>
                </c:pt>
                <c:pt idx="21">
                  <c:v>68.3</c:v>
                </c:pt>
                <c:pt idx="22">
                  <c:v>68.37</c:v>
                </c:pt>
                <c:pt idx="23">
                  <c:v>67.819999999999993</c:v>
                </c:pt>
                <c:pt idx="24">
                  <c:v>67.55</c:v>
                </c:pt>
                <c:pt idx="25">
                  <c:v>67.92</c:v>
                </c:pt>
                <c:pt idx="26">
                  <c:v>68.02</c:v>
                </c:pt>
                <c:pt idx="27">
                  <c:v>68.11</c:v>
                </c:pt>
                <c:pt idx="28">
                  <c:v>68.11</c:v>
                </c:pt>
                <c:pt idx="29">
                  <c:v>68.09</c:v>
                </c:pt>
                <c:pt idx="30">
                  <c:v>68.77</c:v>
                </c:pt>
                <c:pt idx="31">
                  <c:v>68.709999999999994</c:v>
                </c:pt>
                <c:pt idx="32">
                  <c:v>69.040000000000006</c:v>
                </c:pt>
                <c:pt idx="33">
                  <c:v>68.680000000000007</c:v>
                </c:pt>
                <c:pt idx="34">
                  <c:v>69.349999999999994</c:v>
                </c:pt>
                <c:pt idx="35">
                  <c:v>69.599999999999994</c:v>
                </c:pt>
                <c:pt idx="36">
                  <c:v>69.010000000000005</c:v>
                </c:pt>
                <c:pt idx="37">
                  <c:v>68.86</c:v>
                </c:pt>
                <c:pt idx="38">
                  <c:v>68.69</c:v>
                </c:pt>
                <c:pt idx="39">
                  <c:v>71.3</c:v>
                </c:pt>
                <c:pt idx="40">
                  <c:v>71.38</c:v>
                </c:pt>
                <c:pt idx="41">
                  <c:v>72.790000000000006</c:v>
                </c:pt>
                <c:pt idx="42">
                  <c:v>71.290000000000006</c:v>
                </c:pt>
                <c:pt idx="43">
                  <c:v>71.819999999999993</c:v>
                </c:pt>
                <c:pt idx="44">
                  <c:v>71.95</c:v>
                </c:pt>
                <c:pt idx="45">
                  <c:v>71.69</c:v>
                </c:pt>
                <c:pt idx="46">
                  <c:v>70.510000000000005</c:v>
                </c:pt>
                <c:pt idx="47">
                  <c:v>70.989999999999995</c:v>
                </c:pt>
                <c:pt idx="48">
                  <c:v>70.849999999999994</c:v>
                </c:pt>
                <c:pt idx="49">
                  <c:v>71.5</c:v>
                </c:pt>
                <c:pt idx="50">
                  <c:v>71.56</c:v>
                </c:pt>
                <c:pt idx="51">
                  <c:v>71.150000000000006</c:v>
                </c:pt>
                <c:pt idx="52">
                  <c:v>71.34</c:v>
                </c:pt>
                <c:pt idx="53">
                  <c:v>72.5</c:v>
                </c:pt>
                <c:pt idx="54">
                  <c:v>71.97</c:v>
                </c:pt>
                <c:pt idx="55">
                  <c:v>71.7</c:v>
                </c:pt>
                <c:pt idx="56">
                  <c:v>71.53</c:v>
                </c:pt>
                <c:pt idx="57">
                  <c:v>71.53</c:v>
                </c:pt>
                <c:pt idx="58">
                  <c:v>71.75</c:v>
                </c:pt>
                <c:pt idx="59">
                  <c:v>71.2</c:v>
                </c:pt>
                <c:pt idx="60">
                  <c:v>70.11</c:v>
                </c:pt>
                <c:pt idx="61">
                  <c:v>69.97</c:v>
                </c:pt>
                <c:pt idx="62">
                  <c:v>70.849999999999994</c:v>
                </c:pt>
                <c:pt idx="63">
                  <c:v>69.62</c:v>
                </c:pt>
                <c:pt idx="64">
                  <c:v>70.69</c:v>
                </c:pt>
                <c:pt idx="65">
                  <c:v>70.819999999999993</c:v>
                </c:pt>
                <c:pt idx="66">
                  <c:v>71.92</c:v>
                </c:pt>
                <c:pt idx="67">
                  <c:v>73.11</c:v>
                </c:pt>
                <c:pt idx="68">
                  <c:v>73.989999999999995</c:v>
                </c:pt>
                <c:pt idx="69">
                  <c:v>73.03</c:v>
                </c:pt>
                <c:pt idx="70">
                  <c:v>73.33</c:v>
                </c:pt>
                <c:pt idx="71">
                  <c:v>73.05</c:v>
                </c:pt>
                <c:pt idx="72">
                  <c:v>72.75</c:v>
                </c:pt>
                <c:pt idx="73">
                  <c:v>73.349999999999994</c:v>
                </c:pt>
                <c:pt idx="74">
                  <c:v>73.41</c:v>
                </c:pt>
                <c:pt idx="75">
                  <c:v>72.89</c:v>
                </c:pt>
                <c:pt idx="76">
                  <c:v>73.53</c:v>
                </c:pt>
                <c:pt idx="77">
                  <c:v>73.599999999999994</c:v>
                </c:pt>
                <c:pt idx="78">
                  <c:v>72.95</c:v>
                </c:pt>
                <c:pt idx="79">
                  <c:v>73.97</c:v>
                </c:pt>
                <c:pt idx="80">
                  <c:v>73.91</c:v>
                </c:pt>
                <c:pt idx="81">
                  <c:v>72.349999999999994</c:v>
                </c:pt>
                <c:pt idx="82">
                  <c:v>72.14</c:v>
                </c:pt>
                <c:pt idx="83">
                  <c:v>71.67</c:v>
                </c:pt>
                <c:pt idx="84">
                  <c:v>72.08</c:v>
                </c:pt>
                <c:pt idx="85">
                  <c:v>72.739999999999995</c:v>
                </c:pt>
                <c:pt idx="86">
                  <c:v>74</c:v>
                </c:pt>
                <c:pt idx="87">
                  <c:v>73.14</c:v>
                </c:pt>
                <c:pt idx="88">
                  <c:v>73.38</c:v>
                </c:pt>
                <c:pt idx="89">
                  <c:v>73.11</c:v>
                </c:pt>
                <c:pt idx="90">
                  <c:v>73.489999999999995</c:v>
                </c:pt>
                <c:pt idx="91">
                  <c:v>73.89</c:v>
                </c:pt>
                <c:pt idx="92">
                  <c:v>74.38</c:v>
                </c:pt>
                <c:pt idx="93">
                  <c:v>74</c:v>
                </c:pt>
                <c:pt idx="94">
                  <c:v>74.5</c:v>
                </c:pt>
                <c:pt idx="95">
                  <c:v>73.75</c:v>
                </c:pt>
                <c:pt idx="96">
                  <c:v>73.88</c:v>
                </c:pt>
                <c:pt idx="97">
                  <c:v>72.7</c:v>
                </c:pt>
                <c:pt idx="98">
                  <c:v>72.349999999999994</c:v>
                </c:pt>
                <c:pt idx="99">
                  <c:v>72.28</c:v>
                </c:pt>
                <c:pt idx="100">
                  <c:v>71.28</c:v>
                </c:pt>
                <c:pt idx="101">
                  <c:v>71.930000000000007</c:v>
                </c:pt>
                <c:pt idx="102">
                  <c:v>73.69</c:v>
                </c:pt>
                <c:pt idx="103">
                  <c:v>75.569999999999993</c:v>
                </c:pt>
                <c:pt idx="104">
                  <c:v>74.739999999999995</c:v>
                </c:pt>
                <c:pt idx="105">
                  <c:v>71.739999999999995</c:v>
                </c:pt>
                <c:pt idx="106">
                  <c:v>71.260000000000005</c:v>
                </c:pt>
                <c:pt idx="107">
                  <c:v>71.2</c:v>
                </c:pt>
                <c:pt idx="108">
                  <c:v>68.8</c:v>
                </c:pt>
                <c:pt idx="109">
                  <c:v>69.849999999999994</c:v>
                </c:pt>
                <c:pt idx="110">
                  <c:v>70.44</c:v>
                </c:pt>
                <c:pt idx="111">
                  <c:v>71.709999999999994</c:v>
                </c:pt>
                <c:pt idx="112">
                  <c:v>71.52</c:v>
                </c:pt>
                <c:pt idx="113">
                  <c:v>70.73</c:v>
                </c:pt>
                <c:pt idx="114">
                  <c:v>71.69</c:v>
                </c:pt>
                <c:pt idx="115">
                  <c:v>70.52</c:v>
                </c:pt>
                <c:pt idx="116">
                  <c:v>71.37</c:v>
                </c:pt>
                <c:pt idx="117">
                  <c:v>72.28</c:v>
                </c:pt>
                <c:pt idx="118">
                  <c:v>73.08</c:v>
                </c:pt>
                <c:pt idx="119">
                  <c:v>72.540000000000006</c:v>
                </c:pt>
                <c:pt idx="120">
                  <c:v>72.61</c:v>
                </c:pt>
                <c:pt idx="121">
                  <c:v>73.040000000000006</c:v>
                </c:pt>
                <c:pt idx="122">
                  <c:v>72.23</c:v>
                </c:pt>
                <c:pt idx="123">
                  <c:v>72.77</c:v>
                </c:pt>
                <c:pt idx="124">
                  <c:v>73.44</c:v>
                </c:pt>
                <c:pt idx="125">
                  <c:v>74</c:v>
                </c:pt>
                <c:pt idx="126">
                  <c:v>74.2</c:v>
                </c:pt>
                <c:pt idx="127">
                  <c:v>74.150000000000006</c:v>
                </c:pt>
                <c:pt idx="128">
                  <c:v>74.31</c:v>
                </c:pt>
                <c:pt idx="129">
                  <c:v>74.87</c:v>
                </c:pt>
                <c:pt idx="130">
                  <c:v>74.290000000000006</c:v>
                </c:pt>
                <c:pt idx="131">
                  <c:v>74.7</c:v>
                </c:pt>
                <c:pt idx="132">
                  <c:v>73.19</c:v>
                </c:pt>
                <c:pt idx="133">
                  <c:v>72.12</c:v>
                </c:pt>
                <c:pt idx="134">
                  <c:v>72.849999999999994</c:v>
                </c:pt>
                <c:pt idx="135">
                  <c:v>72.290000000000006</c:v>
                </c:pt>
                <c:pt idx="136">
                  <c:v>70.709999999999994</c:v>
                </c:pt>
                <c:pt idx="137">
                  <c:v>69.430000000000007</c:v>
                </c:pt>
                <c:pt idx="138">
                  <c:v>69.86</c:v>
                </c:pt>
                <c:pt idx="139">
                  <c:v>70.75</c:v>
                </c:pt>
                <c:pt idx="140">
                  <c:v>70.95</c:v>
                </c:pt>
                <c:pt idx="141">
                  <c:v>70.95</c:v>
                </c:pt>
                <c:pt idx="142">
                  <c:v>71.5</c:v>
                </c:pt>
                <c:pt idx="143">
                  <c:v>72.489999999999995</c:v>
                </c:pt>
                <c:pt idx="144">
                  <c:v>72.239999999999995</c:v>
                </c:pt>
                <c:pt idx="145">
                  <c:v>72.72</c:v>
                </c:pt>
                <c:pt idx="146">
                  <c:v>73.260000000000005</c:v>
                </c:pt>
                <c:pt idx="147">
                  <c:v>73.510000000000005</c:v>
                </c:pt>
                <c:pt idx="148">
                  <c:v>71.73</c:v>
                </c:pt>
                <c:pt idx="149">
                  <c:v>70.52</c:v>
                </c:pt>
                <c:pt idx="150">
                  <c:v>70.87</c:v>
                </c:pt>
                <c:pt idx="151">
                  <c:v>72.069999999999993</c:v>
                </c:pt>
                <c:pt idx="152">
                  <c:v>71.62</c:v>
                </c:pt>
                <c:pt idx="153">
                  <c:v>70.680000000000007</c:v>
                </c:pt>
                <c:pt idx="154">
                  <c:v>70.63</c:v>
                </c:pt>
                <c:pt idx="155">
                  <c:v>70.77</c:v>
                </c:pt>
                <c:pt idx="156">
                  <c:v>70.510000000000005</c:v>
                </c:pt>
                <c:pt idx="157">
                  <c:v>69.41</c:v>
                </c:pt>
                <c:pt idx="158">
                  <c:v>68.400000000000006</c:v>
                </c:pt>
                <c:pt idx="159">
                  <c:v>67.849999999999994</c:v>
                </c:pt>
                <c:pt idx="160">
                  <c:v>68.08</c:v>
                </c:pt>
                <c:pt idx="161">
                  <c:v>68.03</c:v>
                </c:pt>
                <c:pt idx="162">
                  <c:v>68.3</c:v>
                </c:pt>
                <c:pt idx="163">
                  <c:v>67.06</c:v>
                </c:pt>
                <c:pt idx="164">
                  <c:v>67.540000000000006</c:v>
                </c:pt>
                <c:pt idx="165">
                  <c:v>68.34</c:v>
                </c:pt>
                <c:pt idx="166">
                  <c:v>68.41</c:v>
                </c:pt>
                <c:pt idx="167">
                  <c:v>67.349999999999994</c:v>
                </c:pt>
                <c:pt idx="168">
                  <c:v>67.92</c:v>
                </c:pt>
                <c:pt idx="169">
                  <c:v>68.58</c:v>
                </c:pt>
                <c:pt idx="170">
                  <c:v>68.599999999999994</c:v>
                </c:pt>
                <c:pt idx="171">
                  <c:v>66.81</c:v>
                </c:pt>
                <c:pt idx="172">
                  <c:v>65.41</c:v>
                </c:pt>
                <c:pt idx="173">
                  <c:v>65.959999999999994</c:v>
                </c:pt>
                <c:pt idx="174">
                  <c:v>66.52</c:v>
                </c:pt>
                <c:pt idx="175">
                  <c:v>66.87</c:v>
                </c:pt>
                <c:pt idx="176">
                  <c:v>66.63</c:v>
                </c:pt>
                <c:pt idx="177">
                  <c:v>66.540000000000006</c:v>
                </c:pt>
                <c:pt idx="178">
                  <c:v>66.64</c:v>
                </c:pt>
                <c:pt idx="179">
                  <c:v>66.88</c:v>
                </c:pt>
                <c:pt idx="180">
                  <c:v>66.64</c:v>
                </c:pt>
                <c:pt idx="181">
                  <c:v>66.37</c:v>
                </c:pt>
                <c:pt idx="182">
                  <c:v>67.13</c:v>
                </c:pt>
                <c:pt idx="183">
                  <c:v>67.16</c:v>
                </c:pt>
                <c:pt idx="184">
                  <c:v>67.209999999999994</c:v>
                </c:pt>
                <c:pt idx="185">
                  <c:v>66.75</c:v>
                </c:pt>
                <c:pt idx="186">
                  <c:v>66.709999999999994</c:v>
                </c:pt>
                <c:pt idx="187">
                  <c:v>66.98</c:v>
                </c:pt>
                <c:pt idx="188">
                  <c:v>67.790000000000006</c:v>
                </c:pt>
                <c:pt idx="189">
                  <c:v>67.680000000000007</c:v>
                </c:pt>
                <c:pt idx="190">
                  <c:v>67.819999999999993</c:v>
                </c:pt>
                <c:pt idx="191">
                  <c:v>67.569999999999993</c:v>
                </c:pt>
                <c:pt idx="192">
                  <c:v>67.3</c:v>
                </c:pt>
                <c:pt idx="193">
                  <c:v>68.08</c:v>
                </c:pt>
                <c:pt idx="194">
                  <c:v>67.819999999999993</c:v>
                </c:pt>
                <c:pt idx="195">
                  <c:v>68.239999999999995</c:v>
                </c:pt>
                <c:pt idx="196">
                  <c:v>68.599999999999994</c:v>
                </c:pt>
                <c:pt idx="197">
                  <c:v>67.930000000000007</c:v>
                </c:pt>
                <c:pt idx="198">
                  <c:v>67.459999999999994</c:v>
                </c:pt>
                <c:pt idx="199">
                  <c:v>67.23</c:v>
                </c:pt>
                <c:pt idx="200">
                  <c:v>68.69</c:v>
                </c:pt>
                <c:pt idx="201">
                  <c:v>68.87</c:v>
                </c:pt>
                <c:pt idx="202">
                  <c:v>67.84</c:v>
                </c:pt>
                <c:pt idx="203">
                  <c:v>68.27</c:v>
                </c:pt>
                <c:pt idx="204">
                  <c:v>68.34</c:v>
                </c:pt>
                <c:pt idx="205">
                  <c:v>68.849999999999994</c:v>
                </c:pt>
                <c:pt idx="206">
                  <c:v>68.72</c:v>
                </c:pt>
                <c:pt idx="207">
                  <c:v>68.55</c:v>
                </c:pt>
                <c:pt idx="208">
                  <c:v>68.58</c:v>
                </c:pt>
                <c:pt idx="209">
                  <c:v>69.180000000000007</c:v>
                </c:pt>
                <c:pt idx="210">
                  <c:v>68.790000000000006</c:v>
                </c:pt>
                <c:pt idx="211">
                  <c:v>68.84</c:v>
                </c:pt>
                <c:pt idx="212">
                  <c:v>68.12</c:v>
                </c:pt>
                <c:pt idx="213">
                  <c:v>68.02</c:v>
                </c:pt>
                <c:pt idx="214">
                  <c:v>68.489999999999995</c:v>
                </c:pt>
                <c:pt idx="215">
                  <c:v>67.55</c:v>
                </c:pt>
                <c:pt idx="216">
                  <c:v>69.27</c:v>
                </c:pt>
                <c:pt idx="217">
                  <c:v>69.86</c:v>
                </c:pt>
                <c:pt idx="218">
                  <c:v>70.150000000000006</c:v>
                </c:pt>
                <c:pt idx="219">
                  <c:v>70.14</c:v>
                </c:pt>
                <c:pt idx="220">
                  <c:v>70.290000000000006</c:v>
                </c:pt>
                <c:pt idx="221">
                  <c:v>70.8</c:v>
                </c:pt>
                <c:pt idx="222">
                  <c:v>70.75</c:v>
                </c:pt>
                <c:pt idx="223">
                  <c:v>71.180000000000007</c:v>
                </c:pt>
                <c:pt idx="224">
                  <c:v>71.290000000000006</c:v>
                </c:pt>
                <c:pt idx="225">
                  <c:v>70.53</c:v>
                </c:pt>
                <c:pt idx="226">
                  <c:v>70.61</c:v>
                </c:pt>
                <c:pt idx="227">
                  <c:v>70.3</c:v>
                </c:pt>
                <c:pt idx="228">
                  <c:v>70.099999999999994</c:v>
                </c:pt>
                <c:pt idx="229">
                  <c:v>69.709999999999994</c:v>
                </c:pt>
                <c:pt idx="230">
                  <c:v>68.83</c:v>
                </c:pt>
                <c:pt idx="231">
                  <c:v>69.47</c:v>
                </c:pt>
                <c:pt idx="232">
                  <c:v>73.78</c:v>
                </c:pt>
                <c:pt idx="233">
                  <c:v>74.930000000000007</c:v>
                </c:pt>
                <c:pt idx="234">
                  <c:v>75.400000000000006</c:v>
                </c:pt>
                <c:pt idx="235">
                  <c:v>75.73</c:v>
                </c:pt>
                <c:pt idx="236">
                  <c:v>76.31</c:v>
                </c:pt>
                <c:pt idx="237">
                  <c:v>76.03</c:v>
                </c:pt>
                <c:pt idx="238">
                  <c:v>77.349999999999994</c:v>
                </c:pt>
                <c:pt idx="239">
                  <c:v>76.11</c:v>
                </c:pt>
                <c:pt idx="240">
                  <c:v>75.95</c:v>
                </c:pt>
                <c:pt idx="241">
                  <c:v>76.37</c:v>
                </c:pt>
                <c:pt idx="242">
                  <c:v>76.69</c:v>
                </c:pt>
                <c:pt idx="243">
                  <c:v>76.069999999999993</c:v>
                </c:pt>
                <c:pt idx="244">
                  <c:v>75.540000000000006</c:v>
                </c:pt>
                <c:pt idx="245">
                  <c:v>75.16</c:v>
                </c:pt>
                <c:pt idx="246">
                  <c:v>76.27</c:v>
                </c:pt>
                <c:pt idx="247">
                  <c:v>74.42</c:v>
                </c:pt>
                <c:pt idx="248">
                  <c:v>73.8</c:v>
                </c:pt>
                <c:pt idx="249">
                  <c:v>72.92</c:v>
                </c:pt>
                <c:pt idx="250">
                  <c:v>70.150000000000006</c:v>
                </c:pt>
                <c:pt idx="251">
                  <c:v>67.569999999999993</c:v>
                </c:pt>
                <c:pt idx="252">
                  <c:v>72.44</c:v>
                </c:pt>
                <c:pt idx="253">
                  <c:v>71.78</c:v>
                </c:pt>
                <c:pt idx="254">
                  <c:v>75.37</c:v>
                </c:pt>
                <c:pt idx="255">
                  <c:v>72.34</c:v>
                </c:pt>
                <c:pt idx="256">
                  <c:v>72.510000000000005</c:v>
                </c:pt>
                <c:pt idx="257">
                  <c:v>69.989999999999995</c:v>
                </c:pt>
                <c:pt idx="258">
                  <c:v>71.81</c:v>
                </c:pt>
                <c:pt idx="259">
                  <c:v>68.900000000000006</c:v>
                </c:pt>
                <c:pt idx="260">
                  <c:v>63.89</c:v>
                </c:pt>
                <c:pt idx="261">
                  <c:v>69.099999999999994</c:v>
                </c:pt>
                <c:pt idx="262">
                  <c:v>62.34</c:v>
                </c:pt>
                <c:pt idx="263">
                  <c:v>70.2</c:v>
                </c:pt>
                <c:pt idx="264">
                  <c:v>67.69</c:v>
                </c:pt>
                <c:pt idx="265">
                  <c:v>66.650000000000006</c:v>
                </c:pt>
                <c:pt idx="266">
                  <c:v>62.08</c:v>
                </c:pt>
                <c:pt idx="267">
                  <c:v>60.47</c:v>
                </c:pt>
                <c:pt idx="268">
                  <c:v>61.18</c:v>
                </c:pt>
                <c:pt idx="269">
                  <c:v>59.89</c:v>
                </c:pt>
                <c:pt idx="270">
                  <c:v>63.82</c:v>
                </c:pt>
                <c:pt idx="271">
                  <c:v>65.260000000000005</c:v>
                </c:pt>
                <c:pt idx="272">
                  <c:v>66.58</c:v>
                </c:pt>
                <c:pt idx="273">
                  <c:v>66.36</c:v>
                </c:pt>
                <c:pt idx="274">
                  <c:v>65.55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0-5347-8377-9CCC3062F75F}"/>
            </c:ext>
          </c:extLst>
        </c:ser>
        <c:ser>
          <c:idx val="1"/>
          <c:order val="1"/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A00-5347-8377-9CCC3062F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0340272"/>
        <c:axId val="1"/>
      </c:lineChart>
      <c:catAx>
        <c:axId val="164034027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80"/>
          <c:min val="58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034027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7419811303189676"/>
          <c:y val="0.93982147189120813"/>
          <c:w val="0.40727108135344253"/>
          <c:h val="4.29187451045059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887323943661969"/>
          <c:y val="3.141464319577853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90899189595848E-2"/>
          <c:y val="0.17016266204158365"/>
          <c:w val="0.92635604601810573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The Procter &amp; Gamble Company (NYSE:PG) - Share Pricing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'[2]Pane 1'!$A$37:$A$311</c:f>
              <c:numCache>
                <c:formatCode>General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'[2]Pane 1'!$B$37:$B$311</c:f>
              <c:numCache>
                <c:formatCode>General</c:formatCode>
                <c:ptCount val="275"/>
                <c:pt idx="0">
                  <c:v>98.44</c:v>
                </c:pt>
                <c:pt idx="1">
                  <c:v>98.87</c:v>
                </c:pt>
                <c:pt idx="2">
                  <c:v>99.09</c:v>
                </c:pt>
                <c:pt idx="3">
                  <c:v>98.93</c:v>
                </c:pt>
                <c:pt idx="4">
                  <c:v>98.55</c:v>
                </c:pt>
                <c:pt idx="5">
                  <c:v>98.41</c:v>
                </c:pt>
                <c:pt idx="6">
                  <c:v>99.58</c:v>
                </c:pt>
                <c:pt idx="7">
                  <c:v>100.05</c:v>
                </c:pt>
                <c:pt idx="8">
                  <c:v>101.18</c:v>
                </c:pt>
                <c:pt idx="9">
                  <c:v>101.32</c:v>
                </c:pt>
                <c:pt idx="10">
                  <c:v>102.44</c:v>
                </c:pt>
                <c:pt idx="11">
                  <c:v>101.51</c:v>
                </c:pt>
                <c:pt idx="12">
                  <c:v>101.9</c:v>
                </c:pt>
                <c:pt idx="13">
                  <c:v>101.72</c:v>
                </c:pt>
                <c:pt idx="14">
                  <c:v>102.49</c:v>
                </c:pt>
                <c:pt idx="15">
                  <c:v>101.66</c:v>
                </c:pt>
                <c:pt idx="16">
                  <c:v>101.96</c:v>
                </c:pt>
                <c:pt idx="17">
                  <c:v>103.02</c:v>
                </c:pt>
                <c:pt idx="18">
                  <c:v>102.9</c:v>
                </c:pt>
                <c:pt idx="19">
                  <c:v>103.55</c:v>
                </c:pt>
                <c:pt idx="20">
                  <c:v>104.05</c:v>
                </c:pt>
                <c:pt idx="21">
                  <c:v>103.64</c:v>
                </c:pt>
                <c:pt idx="22">
                  <c:v>103.75</c:v>
                </c:pt>
                <c:pt idx="23">
                  <c:v>103.69</c:v>
                </c:pt>
                <c:pt idx="24">
                  <c:v>103.43</c:v>
                </c:pt>
                <c:pt idx="25">
                  <c:v>103.65</c:v>
                </c:pt>
                <c:pt idx="26">
                  <c:v>104.97</c:v>
                </c:pt>
                <c:pt idx="27">
                  <c:v>104.66</c:v>
                </c:pt>
                <c:pt idx="31">
                  <c:v>105.73</c:v>
                </c:pt>
                <c:pt idx="32">
                  <c:v>106.42</c:v>
                </c:pt>
                <c:pt idx="33">
                  <c:v>105.85</c:v>
                </c:pt>
                <c:pt idx="34">
                  <c:v>106.05</c:v>
                </c:pt>
                <c:pt idx="35">
                  <c:v>106.01</c:v>
                </c:pt>
                <c:pt idx="36">
                  <c:v>103.16</c:v>
                </c:pt>
                <c:pt idx="37">
                  <c:v>103.69</c:v>
                </c:pt>
                <c:pt idx="38">
                  <c:v>103.28</c:v>
                </c:pt>
                <c:pt idx="39">
                  <c:v>105.86</c:v>
                </c:pt>
                <c:pt idx="40">
                  <c:v>104.78</c:v>
                </c:pt>
                <c:pt idx="41">
                  <c:v>106.48</c:v>
                </c:pt>
                <c:pt idx="42">
                  <c:v>104.93</c:v>
                </c:pt>
                <c:pt idx="43">
                  <c:v>105.56</c:v>
                </c:pt>
                <c:pt idx="44">
                  <c:v>106.08</c:v>
                </c:pt>
                <c:pt idx="45">
                  <c:v>105.68</c:v>
                </c:pt>
                <c:pt idx="46">
                  <c:v>104.7</c:v>
                </c:pt>
                <c:pt idx="47">
                  <c:v>105.07</c:v>
                </c:pt>
                <c:pt idx="48">
                  <c:v>104.24</c:v>
                </c:pt>
                <c:pt idx="49">
                  <c:v>106.01</c:v>
                </c:pt>
                <c:pt idx="50">
                  <c:v>106.11</c:v>
                </c:pt>
                <c:pt idx="51">
                  <c:v>105.6</c:v>
                </c:pt>
                <c:pt idx="52">
                  <c:v>106.7</c:v>
                </c:pt>
                <c:pt idx="53">
                  <c:v>108.11</c:v>
                </c:pt>
                <c:pt idx="54">
                  <c:v>107.45</c:v>
                </c:pt>
                <c:pt idx="55">
                  <c:v>107.33</c:v>
                </c:pt>
                <c:pt idx="56">
                  <c:v>106.37</c:v>
                </c:pt>
                <c:pt idx="57">
                  <c:v>106.72</c:v>
                </c:pt>
                <c:pt idx="58">
                  <c:v>106.76</c:v>
                </c:pt>
                <c:pt idx="59">
                  <c:v>106.69</c:v>
                </c:pt>
                <c:pt idx="63">
                  <c:v>102.91</c:v>
                </c:pt>
                <c:pt idx="64">
                  <c:v>103.8</c:v>
                </c:pt>
                <c:pt idx="65">
                  <c:v>104.68</c:v>
                </c:pt>
                <c:pt idx="66">
                  <c:v>106.73</c:v>
                </c:pt>
                <c:pt idx="67">
                  <c:v>107.38</c:v>
                </c:pt>
                <c:pt idx="68">
                  <c:v>108.77</c:v>
                </c:pt>
                <c:pt idx="69">
                  <c:v>108.72</c:v>
                </c:pt>
                <c:pt idx="70">
                  <c:v>109.38</c:v>
                </c:pt>
                <c:pt idx="71">
                  <c:v>109.68</c:v>
                </c:pt>
                <c:pt idx="72">
                  <c:v>110.91</c:v>
                </c:pt>
                <c:pt idx="73">
                  <c:v>111.2</c:v>
                </c:pt>
                <c:pt idx="74">
                  <c:v>110.99</c:v>
                </c:pt>
                <c:pt idx="75">
                  <c:v>109.6</c:v>
                </c:pt>
                <c:pt idx="76">
                  <c:v>110.42</c:v>
                </c:pt>
                <c:pt idx="77">
                  <c:v>111.74</c:v>
                </c:pt>
                <c:pt idx="78">
                  <c:v>111.2</c:v>
                </c:pt>
                <c:pt idx="79">
                  <c:v>112.33</c:v>
                </c:pt>
                <c:pt idx="80">
                  <c:v>111.72</c:v>
                </c:pt>
                <c:pt idx="81">
                  <c:v>109.73</c:v>
                </c:pt>
                <c:pt idx="82">
                  <c:v>109.78</c:v>
                </c:pt>
                <c:pt idx="83">
                  <c:v>109.65</c:v>
                </c:pt>
                <c:pt idx="84">
                  <c:v>110.49</c:v>
                </c:pt>
                <c:pt idx="85">
                  <c:v>111.48</c:v>
                </c:pt>
                <c:pt idx="86">
                  <c:v>114.08</c:v>
                </c:pt>
                <c:pt idx="87">
                  <c:v>113.15</c:v>
                </c:pt>
                <c:pt idx="88">
                  <c:v>114.05</c:v>
                </c:pt>
                <c:pt idx="89">
                  <c:v>112.91</c:v>
                </c:pt>
                <c:pt idx="90">
                  <c:v>113.75</c:v>
                </c:pt>
                <c:pt idx="91">
                  <c:v>114.38</c:v>
                </c:pt>
                <c:pt idx="95">
                  <c:v>115.94</c:v>
                </c:pt>
                <c:pt idx="96">
                  <c:v>115.44</c:v>
                </c:pt>
                <c:pt idx="97">
                  <c:v>115.01</c:v>
                </c:pt>
                <c:pt idx="98">
                  <c:v>115.3</c:v>
                </c:pt>
                <c:pt idx="99">
                  <c:v>113.85</c:v>
                </c:pt>
                <c:pt idx="100">
                  <c:v>112.6</c:v>
                </c:pt>
                <c:pt idx="101">
                  <c:v>112.77</c:v>
                </c:pt>
                <c:pt idx="102">
                  <c:v>114.73</c:v>
                </c:pt>
                <c:pt idx="103">
                  <c:v>116</c:v>
                </c:pt>
                <c:pt idx="104">
                  <c:v>120.41</c:v>
                </c:pt>
                <c:pt idx="105">
                  <c:v>118.04</c:v>
                </c:pt>
                <c:pt idx="106">
                  <c:v>116.73</c:v>
                </c:pt>
                <c:pt idx="107">
                  <c:v>116.44</c:v>
                </c:pt>
                <c:pt idx="108">
                  <c:v>113.08</c:v>
                </c:pt>
                <c:pt idx="109">
                  <c:v>114.28</c:v>
                </c:pt>
                <c:pt idx="110">
                  <c:v>115.52</c:v>
                </c:pt>
                <c:pt idx="111">
                  <c:v>117.44</c:v>
                </c:pt>
                <c:pt idx="112">
                  <c:v>116.78</c:v>
                </c:pt>
                <c:pt idx="113">
                  <c:v>116.03</c:v>
                </c:pt>
                <c:pt idx="114">
                  <c:v>117.25</c:v>
                </c:pt>
                <c:pt idx="115">
                  <c:v>115.79</c:v>
                </c:pt>
                <c:pt idx="116">
                  <c:v>117.39</c:v>
                </c:pt>
                <c:pt idx="117">
                  <c:v>119.18</c:v>
                </c:pt>
                <c:pt idx="118">
                  <c:v>120.24</c:v>
                </c:pt>
                <c:pt idx="119">
                  <c:v>118.9</c:v>
                </c:pt>
                <c:pt idx="120">
                  <c:v>119.2</c:v>
                </c:pt>
                <c:pt idx="121">
                  <c:v>119.42</c:v>
                </c:pt>
                <c:pt idx="122">
                  <c:v>117.32</c:v>
                </c:pt>
                <c:pt idx="123">
                  <c:v>119.32</c:v>
                </c:pt>
                <c:pt idx="127">
                  <c:v>120.23</c:v>
                </c:pt>
                <c:pt idx="128">
                  <c:v>121.36</c:v>
                </c:pt>
                <c:pt idx="129">
                  <c:v>123.21</c:v>
                </c:pt>
                <c:pt idx="130">
                  <c:v>122.76</c:v>
                </c:pt>
                <c:pt idx="131">
                  <c:v>122.87</c:v>
                </c:pt>
                <c:pt idx="132">
                  <c:v>122.17</c:v>
                </c:pt>
                <c:pt idx="133">
                  <c:v>119.88</c:v>
                </c:pt>
                <c:pt idx="134">
                  <c:v>121.27</c:v>
                </c:pt>
                <c:pt idx="135">
                  <c:v>122.77</c:v>
                </c:pt>
                <c:pt idx="136">
                  <c:v>122.12</c:v>
                </c:pt>
                <c:pt idx="137">
                  <c:v>119.75</c:v>
                </c:pt>
                <c:pt idx="138">
                  <c:v>121.16</c:v>
                </c:pt>
                <c:pt idx="139">
                  <c:v>121.41</c:v>
                </c:pt>
                <c:pt idx="140">
                  <c:v>121.9</c:v>
                </c:pt>
                <c:pt idx="141">
                  <c:v>122.24</c:v>
                </c:pt>
                <c:pt idx="142">
                  <c:v>123.22</c:v>
                </c:pt>
                <c:pt idx="143">
                  <c:v>123.61</c:v>
                </c:pt>
                <c:pt idx="144">
                  <c:v>123.02</c:v>
                </c:pt>
                <c:pt idx="145">
                  <c:v>124.31</c:v>
                </c:pt>
                <c:pt idx="146">
                  <c:v>124.57</c:v>
                </c:pt>
                <c:pt idx="147">
                  <c:v>124.38</c:v>
                </c:pt>
                <c:pt idx="148">
                  <c:v>123.85</c:v>
                </c:pt>
                <c:pt idx="149">
                  <c:v>121.08</c:v>
                </c:pt>
                <c:pt idx="150">
                  <c:v>121.74</c:v>
                </c:pt>
                <c:pt idx="151">
                  <c:v>124</c:v>
                </c:pt>
                <c:pt idx="152">
                  <c:v>122.84</c:v>
                </c:pt>
                <c:pt idx="153">
                  <c:v>120.93</c:v>
                </c:pt>
                <c:pt idx="154">
                  <c:v>121.98</c:v>
                </c:pt>
                <c:pt idx="155">
                  <c:v>121.94</c:v>
                </c:pt>
                <c:pt idx="159">
                  <c:v>117.53</c:v>
                </c:pt>
                <c:pt idx="160">
                  <c:v>116.63</c:v>
                </c:pt>
                <c:pt idx="161">
                  <c:v>117.47</c:v>
                </c:pt>
                <c:pt idx="162">
                  <c:v>119.08</c:v>
                </c:pt>
                <c:pt idx="163">
                  <c:v>122.18</c:v>
                </c:pt>
                <c:pt idx="164">
                  <c:v>123</c:v>
                </c:pt>
                <c:pt idx="165">
                  <c:v>124.79</c:v>
                </c:pt>
                <c:pt idx="166">
                  <c:v>123.25</c:v>
                </c:pt>
                <c:pt idx="167">
                  <c:v>123.48</c:v>
                </c:pt>
                <c:pt idx="168">
                  <c:v>123.6</c:v>
                </c:pt>
                <c:pt idx="169">
                  <c:v>124.94</c:v>
                </c:pt>
                <c:pt idx="170">
                  <c:v>124.51</c:v>
                </c:pt>
                <c:pt idx="171">
                  <c:v>123.87</c:v>
                </c:pt>
                <c:pt idx="172">
                  <c:v>119.07</c:v>
                </c:pt>
                <c:pt idx="173">
                  <c:v>118.9</c:v>
                </c:pt>
                <c:pt idx="174">
                  <c:v>120.32</c:v>
                </c:pt>
                <c:pt idx="175">
                  <c:v>119.62</c:v>
                </c:pt>
                <c:pt idx="176">
                  <c:v>119.7</c:v>
                </c:pt>
                <c:pt idx="177">
                  <c:v>119.33</c:v>
                </c:pt>
                <c:pt idx="178">
                  <c:v>119.27</c:v>
                </c:pt>
                <c:pt idx="179">
                  <c:v>120.65</c:v>
                </c:pt>
                <c:pt idx="180">
                  <c:v>120.5</c:v>
                </c:pt>
                <c:pt idx="181">
                  <c:v>120.54</c:v>
                </c:pt>
                <c:pt idx="182">
                  <c:v>121.89</c:v>
                </c:pt>
                <c:pt idx="183">
                  <c:v>121.42</c:v>
                </c:pt>
                <c:pt idx="184">
                  <c:v>122.29</c:v>
                </c:pt>
                <c:pt idx="185">
                  <c:v>120.34</c:v>
                </c:pt>
                <c:pt idx="186">
                  <c:v>120.29</c:v>
                </c:pt>
                <c:pt idx="187">
                  <c:v>120.51</c:v>
                </c:pt>
                <c:pt idx="191">
                  <c:v>122.72</c:v>
                </c:pt>
                <c:pt idx="192">
                  <c:v>122.95</c:v>
                </c:pt>
                <c:pt idx="193">
                  <c:v>124.53</c:v>
                </c:pt>
                <c:pt idx="194">
                  <c:v>124.62</c:v>
                </c:pt>
                <c:pt idx="195">
                  <c:v>124.19</c:v>
                </c:pt>
                <c:pt idx="196">
                  <c:v>124.87</c:v>
                </c:pt>
                <c:pt idx="197">
                  <c:v>124.27</c:v>
                </c:pt>
                <c:pt idx="198">
                  <c:v>124.66</c:v>
                </c:pt>
                <c:pt idx="199">
                  <c:v>124.57</c:v>
                </c:pt>
                <c:pt idx="200">
                  <c:v>125.47</c:v>
                </c:pt>
                <c:pt idx="201">
                  <c:v>125.56</c:v>
                </c:pt>
                <c:pt idx="202">
                  <c:v>125.31</c:v>
                </c:pt>
                <c:pt idx="203">
                  <c:v>124.01</c:v>
                </c:pt>
                <c:pt idx="204">
                  <c:v>124.92</c:v>
                </c:pt>
                <c:pt idx="205">
                  <c:v>125.36</c:v>
                </c:pt>
                <c:pt idx="206">
                  <c:v>124.9</c:v>
                </c:pt>
                <c:pt idx="207">
                  <c:v>125.22</c:v>
                </c:pt>
                <c:pt idx="208">
                  <c:v>125.22</c:v>
                </c:pt>
                <c:pt idx="209">
                  <c:v>126.09</c:v>
                </c:pt>
                <c:pt idx="210">
                  <c:v>124.47</c:v>
                </c:pt>
                <c:pt idx="211">
                  <c:v>124.9</c:v>
                </c:pt>
                <c:pt idx="212">
                  <c:v>123.41</c:v>
                </c:pt>
                <c:pt idx="213">
                  <c:v>122.58</c:v>
                </c:pt>
                <c:pt idx="214">
                  <c:v>122.75</c:v>
                </c:pt>
                <c:pt idx="215">
                  <c:v>121.99</c:v>
                </c:pt>
                <c:pt idx="216">
                  <c:v>122.51</c:v>
                </c:pt>
                <c:pt idx="217">
                  <c:v>123.85</c:v>
                </c:pt>
                <c:pt idx="218">
                  <c:v>123.97</c:v>
                </c:pt>
                <c:pt idx="219">
                  <c:v>124.88</c:v>
                </c:pt>
                <c:pt idx="223">
                  <c:v>126.41</c:v>
                </c:pt>
                <c:pt idx="224">
                  <c:v>126.09</c:v>
                </c:pt>
                <c:pt idx="225">
                  <c:v>126.31</c:v>
                </c:pt>
                <c:pt idx="226">
                  <c:v>124.99</c:v>
                </c:pt>
                <c:pt idx="227">
                  <c:v>125.14</c:v>
                </c:pt>
                <c:pt idx="228">
                  <c:v>125.69</c:v>
                </c:pt>
                <c:pt idx="229">
                  <c:v>126.03</c:v>
                </c:pt>
                <c:pt idx="230">
                  <c:v>125.06</c:v>
                </c:pt>
                <c:pt idx="231">
                  <c:v>125.95</c:v>
                </c:pt>
                <c:pt idx="232">
                  <c:v>124.62</c:v>
                </c:pt>
                <c:pt idx="233">
                  <c:v>125.11</c:v>
                </c:pt>
                <c:pt idx="234">
                  <c:v>125.66</c:v>
                </c:pt>
                <c:pt idx="235">
                  <c:v>126.81</c:v>
                </c:pt>
                <c:pt idx="236">
                  <c:v>127.14</c:v>
                </c:pt>
                <c:pt idx="237">
                  <c:v>126.08</c:v>
                </c:pt>
                <c:pt idx="238">
                  <c:v>126.17</c:v>
                </c:pt>
                <c:pt idx="239">
                  <c:v>124.16</c:v>
                </c:pt>
                <c:pt idx="240">
                  <c:v>123.45</c:v>
                </c:pt>
                <c:pt idx="241">
                  <c:v>124.96</c:v>
                </c:pt>
                <c:pt idx="242">
                  <c:v>126.14</c:v>
                </c:pt>
                <c:pt idx="243">
                  <c:v>124.87</c:v>
                </c:pt>
                <c:pt idx="244">
                  <c:v>125.44</c:v>
                </c:pt>
                <c:pt idx="245">
                  <c:v>126.58</c:v>
                </c:pt>
                <c:pt idx="246">
                  <c:v>126.7</c:v>
                </c:pt>
                <c:pt idx="247">
                  <c:v>123.3</c:v>
                </c:pt>
                <c:pt idx="248">
                  <c:v>121.43</c:v>
                </c:pt>
                <c:pt idx="249">
                  <c:v>120.16</c:v>
                </c:pt>
                <c:pt idx="250">
                  <c:v>113.5</c:v>
                </c:pt>
                <c:pt idx="251">
                  <c:v>113.23</c:v>
                </c:pt>
                <c:pt idx="255">
                  <c:v>121.63</c:v>
                </c:pt>
                <c:pt idx="256">
                  <c:v>121.66</c:v>
                </c:pt>
                <c:pt idx="257">
                  <c:v>116.06</c:v>
                </c:pt>
                <c:pt idx="258">
                  <c:v>120.55</c:v>
                </c:pt>
                <c:pt idx="259">
                  <c:v>111.59</c:v>
                </c:pt>
                <c:pt idx="260">
                  <c:v>101.84</c:v>
                </c:pt>
                <c:pt idx="261">
                  <c:v>114.07</c:v>
                </c:pt>
                <c:pt idx="262">
                  <c:v>108.5</c:v>
                </c:pt>
                <c:pt idx="263">
                  <c:v>118.24</c:v>
                </c:pt>
                <c:pt idx="264">
                  <c:v>117.45</c:v>
                </c:pt>
                <c:pt idx="265">
                  <c:v>110.83</c:v>
                </c:pt>
                <c:pt idx="266">
                  <c:v>102.43</c:v>
                </c:pt>
                <c:pt idx="267">
                  <c:v>97.7</c:v>
                </c:pt>
                <c:pt idx="268">
                  <c:v>103.27</c:v>
                </c:pt>
                <c:pt idx="269">
                  <c:v>100.92</c:v>
                </c:pt>
                <c:pt idx="270">
                  <c:v>107.38</c:v>
                </c:pt>
                <c:pt idx="271">
                  <c:v>110.17</c:v>
                </c:pt>
                <c:pt idx="272">
                  <c:v>115</c:v>
                </c:pt>
                <c:pt idx="273">
                  <c:v>110</c:v>
                </c:pt>
                <c:pt idx="274">
                  <c:v>109.33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0-D541-B3C2-927DE0494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935407"/>
        <c:axId val="1"/>
      </c:lineChart>
      <c:catAx>
        <c:axId val="1949935407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131"/>
          <c:min val="9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9935407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295825833255135"/>
          <c:y val="0.93982149482623567"/>
          <c:w val="0.33262137330341834"/>
          <c:h val="4.4504060683514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049237986783183"/>
          <c:y val="3.14146452999846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45086832108224E-2"/>
          <c:y val="0.17016266204158365"/>
          <c:w val="0.9259547225068836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S&amp;P 500 (^SPX) - Index Value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'[3]Pane 1'!$A$37:$A$311</c:f>
              <c:numCache>
                <c:formatCode>General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'[3]Pane 1'!$B$37:$B$311</c:f>
              <c:numCache>
                <c:formatCode>General</c:formatCode>
                <c:ptCount val="275"/>
                <c:pt idx="0">
                  <c:v>2803.6943543530765</c:v>
                </c:pt>
                <c:pt idx="1">
                  <c:v>2792.8109017188544</c:v>
                </c:pt>
                <c:pt idx="2">
                  <c:v>2789.6509801528641</c:v>
                </c:pt>
                <c:pt idx="3">
                  <c:v>2771.4476422090356</c:v>
                </c:pt>
                <c:pt idx="4">
                  <c:v>2748.9257803355367</c:v>
                </c:pt>
                <c:pt idx="5">
                  <c:v>2743.0676692161346</c:v>
                </c:pt>
                <c:pt idx="6">
                  <c:v>2783.2950066621156</c:v>
                </c:pt>
                <c:pt idx="7">
                  <c:v>2791.5222805753579</c:v>
                </c:pt>
                <c:pt idx="8">
                  <c:v>2810.9175122646666</c:v>
                </c:pt>
                <c:pt idx="9">
                  <c:v>2808.4827876644808</c:v>
                </c:pt>
                <c:pt idx="10">
                  <c:v>2822.4766492394797</c:v>
                </c:pt>
                <c:pt idx="11">
                  <c:v>2832.9405791163622</c:v>
                </c:pt>
                <c:pt idx="12">
                  <c:v>2832.5673856183626</c:v>
                </c:pt>
                <c:pt idx="13">
                  <c:v>2824.2258141318821</c:v>
                </c:pt>
                <c:pt idx="14">
                  <c:v>2854.8766697000342</c:v>
                </c:pt>
                <c:pt idx="15">
                  <c:v>2800.7124470588578</c:v>
                </c:pt>
                <c:pt idx="16">
                  <c:v>2798.3616451060097</c:v>
                </c:pt>
                <c:pt idx="17">
                  <c:v>2818.4578854696329</c:v>
                </c:pt>
                <c:pt idx="18">
                  <c:v>2805.373156624692</c:v>
                </c:pt>
                <c:pt idx="19">
                  <c:v>2815.437294914158</c:v>
                </c:pt>
                <c:pt idx="20">
                  <c:v>2834.3998195751506</c:v>
                </c:pt>
                <c:pt idx="21">
                  <c:v>2867.1938893137999</c:v>
                </c:pt>
                <c:pt idx="22">
                  <c:v>2867.2364436299208</c:v>
                </c:pt>
                <c:pt idx="23">
                  <c:v>2873.3991482144502</c:v>
                </c:pt>
                <c:pt idx="24">
                  <c:v>2879.3907805172871</c:v>
                </c:pt>
                <c:pt idx="25">
                  <c:v>2892.7443971570365</c:v>
                </c:pt>
                <c:pt idx="26">
                  <c:v>2895.7705932558702</c:v>
                </c:pt>
                <c:pt idx="27">
                  <c:v>2878.2006311820792</c:v>
                </c:pt>
                <c:pt idx="28">
                  <c:v>2888.2104169608015</c:v>
                </c:pt>
                <c:pt idx="29">
                  <c:v>2888.3194535660746</c:v>
                </c:pt>
                <c:pt idx="30">
                  <c:v>2907.4143830768035</c:v>
                </c:pt>
                <c:pt idx="31">
                  <c:v>2905.5832738591421</c:v>
                </c:pt>
                <c:pt idx="32">
                  <c:v>2907.0575482500794</c:v>
                </c:pt>
                <c:pt idx="33">
                  <c:v>2900.4531359849407</c:v>
                </c:pt>
                <c:pt idx="34">
                  <c:v>2905.0325202007193</c:v>
                </c:pt>
                <c:pt idx="35">
                  <c:v>2907.9726774288615</c:v>
                </c:pt>
                <c:pt idx="36">
                  <c:v>2933.675818466224</c:v>
                </c:pt>
                <c:pt idx="37">
                  <c:v>2927.252365084114</c:v>
                </c:pt>
                <c:pt idx="38">
                  <c:v>2926.1730754066452</c:v>
                </c:pt>
                <c:pt idx="39">
                  <c:v>2939.8816692537521</c:v>
                </c:pt>
                <c:pt idx="40">
                  <c:v>2943.026919667288</c:v>
                </c:pt>
                <c:pt idx="41">
                  <c:v>2945.8308868458057</c:v>
                </c:pt>
                <c:pt idx="42">
                  <c:v>2923.7319381825055</c:v>
                </c:pt>
                <c:pt idx="43">
                  <c:v>2917.5163798788308</c:v>
                </c:pt>
                <c:pt idx="44">
                  <c:v>2945.6377901022634</c:v>
                </c:pt>
                <c:pt idx="45">
                  <c:v>2932.4738490857135</c:v>
                </c:pt>
                <c:pt idx="46">
                  <c:v>2884.0503077962385</c:v>
                </c:pt>
                <c:pt idx="47">
                  <c:v>2879.4196417361914</c:v>
                </c:pt>
                <c:pt idx="48">
                  <c:v>2870.7170957245125</c:v>
                </c:pt>
                <c:pt idx="49">
                  <c:v>2881.4005103276745</c:v>
                </c:pt>
                <c:pt idx="50">
                  <c:v>2811.8654001004779</c:v>
                </c:pt>
                <c:pt idx="51">
                  <c:v>2834.4068001572468</c:v>
                </c:pt>
                <c:pt idx="52">
                  <c:v>2850.9645340323104</c:v>
                </c:pt>
                <c:pt idx="53">
                  <c:v>2876.3169278960177</c:v>
                </c:pt>
                <c:pt idx="54">
                  <c:v>2859.5323467116914</c:v>
                </c:pt>
                <c:pt idx="55">
                  <c:v>2840.2331323810981</c:v>
                </c:pt>
                <c:pt idx="56">
                  <c:v>2864.3594093680108</c:v>
                </c:pt>
                <c:pt idx="57">
                  <c:v>2856.2741510342721</c:v>
                </c:pt>
                <c:pt idx="58">
                  <c:v>2822.2409559279745</c:v>
                </c:pt>
                <c:pt idx="59">
                  <c:v>2826.0646864961</c:v>
                </c:pt>
                <c:pt idx="60">
                  <c:v>2802.3852184126117</c:v>
                </c:pt>
                <c:pt idx="61">
                  <c:v>2783.0183224371567</c:v>
                </c:pt>
                <c:pt idx="62">
                  <c:v>2788.8649306177908</c:v>
                </c:pt>
                <c:pt idx="63">
                  <c:v>2752.0628861321829</c:v>
                </c:pt>
                <c:pt idx="64">
                  <c:v>2744.4464431785109</c:v>
                </c:pt>
                <c:pt idx="65">
                  <c:v>2803.2725358166681</c:v>
                </c:pt>
                <c:pt idx="66">
                  <c:v>2826.150599552202</c:v>
                </c:pt>
                <c:pt idx="67">
                  <c:v>2843.4903771814538</c:v>
                </c:pt>
                <c:pt idx="68">
                  <c:v>2873.3420016462501</c:v>
                </c:pt>
                <c:pt idx="69">
                  <c:v>2886.7341265343844</c:v>
                </c:pt>
                <c:pt idx="70">
                  <c:v>2885.7221462383695</c:v>
                </c:pt>
                <c:pt idx="71">
                  <c:v>2879.8364590721526</c:v>
                </c:pt>
                <c:pt idx="72">
                  <c:v>2891.6405345038365</c:v>
                </c:pt>
                <c:pt idx="73">
                  <c:v>2886.9832099801311</c:v>
                </c:pt>
                <c:pt idx="74">
                  <c:v>2889.6699778407151</c:v>
                </c:pt>
                <c:pt idx="75">
                  <c:v>2917.7507616530788</c:v>
                </c:pt>
                <c:pt idx="76">
                  <c:v>2926.4558150439875</c:v>
                </c:pt>
                <c:pt idx="77">
                  <c:v>2954.1818728841436</c:v>
                </c:pt>
                <c:pt idx="78">
                  <c:v>2950.455013210636</c:v>
                </c:pt>
                <c:pt idx="79">
                  <c:v>2945.3487961538822</c:v>
                </c:pt>
                <c:pt idx="80">
                  <c:v>2917.3831404343919</c:v>
                </c:pt>
                <c:pt idx="81">
                  <c:v>2913.7787781963061</c:v>
                </c:pt>
                <c:pt idx="82">
                  <c:v>2924.9212016279544</c:v>
                </c:pt>
                <c:pt idx="83">
                  <c:v>2941.7606374579345</c:v>
                </c:pt>
                <c:pt idx="84">
                  <c:v>2964.33284246836</c:v>
                </c:pt>
                <c:pt idx="85">
                  <c:v>2973.011927566301</c:v>
                </c:pt>
                <c:pt idx="86">
                  <c:v>2995.8225920371956</c:v>
                </c:pt>
                <c:pt idx="87">
                  <c:v>2990.4095826285779</c:v>
                </c:pt>
                <c:pt idx="88">
                  <c:v>2975.9455012433718</c:v>
                </c:pt>
                <c:pt idx="89">
                  <c:v>2979.6258058689832</c:v>
                </c:pt>
                <c:pt idx="90">
                  <c:v>2993.0699580184587</c:v>
                </c:pt>
                <c:pt idx="91">
                  <c:v>2999.90694729709</c:v>
                </c:pt>
                <c:pt idx="92">
                  <c:v>3013.7726490768137</c:v>
                </c:pt>
                <c:pt idx="93">
                  <c:v>3014.2978852130268</c:v>
                </c:pt>
                <c:pt idx="94">
                  <c:v>3004.0431039320347</c:v>
                </c:pt>
                <c:pt idx="95">
                  <c:v>2984.4234710898791</c:v>
                </c:pt>
                <c:pt idx="96">
                  <c:v>2995.1124645295586</c:v>
                </c:pt>
                <c:pt idx="97">
                  <c:v>2976.6090569872754</c:v>
                </c:pt>
                <c:pt idx="98">
                  <c:v>2985.0311553162123</c:v>
                </c:pt>
                <c:pt idx="99">
                  <c:v>3005.4734873057182</c:v>
                </c:pt>
                <c:pt idx="100">
                  <c:v>3019.5565604111998</c:v>
                </c:pt>
                <c:pt idx="101">
                  <c:v>3003.6712511099136</c:v>
                </c:pt>
                <c:pt idx="102">
                  <c:v>3025.8591481188296</c:v>
                </c:pt>
                <c:pt idx="103">
                  <c:v>3020.9681229405687</c:v>
                </c:pt>
                <c:pt idx="104">
                  <c:v>3013.1818626619583</c:v>
                </c:pt>
                <c:pt idx="105">
                  <c:v>2980.3788544642703</c:v>
                </c:pt>
                <c:pt idx="106">
                  <c:v>2953.560123626331</c:v>
                </c:pt>
                <c:pt idx="107">
                  <c:v>2932.0452074070449</c:v>
                </c:pt>
                <c:pt idx="108">
                  <c:v>2844.7427082969057</c:v>
                </c:pt>
                <c:pt idx="109">
                  <c:v>2881.7740741992161</c:v>
                </c:pt>
                <c:pt idx="110">
                  <c:v>2883.9844170452166</c:v>
                </c:pt>
                <c:pt idx="111">
                  <c:v>2938.0945262595137</c:v>
                </c:pt>
                <c:pt idx="112">
                  <c:v>2918.6456020570922</c:v>
                </c:pt>
                <c:pt idx="113">
                  <c:v>2883.75</c:v>
                </c:pt>
                <c:pt idx="114">
                  <c:v>2926.3247709496181</c:v>
                </c:pt>
                <c:pt idx="115">
                  <c:v>2840.5982828209867</c:v>
                </c:pt>
                <c:pt idx="116">
                  <c:v>2847.5950637401747</c:v>
                </c:pt>
                <c:pt idx="117">
                  <c:v>2888.677981429888</c:v>
                </c:pt>
                <c:pt idx="118">
                  <c:v>2923.648225930589</c:v>
                </c:pt>
                <c:pt idx="119">
                  <c:v>2900.5102677585041</c:v>
                </c:pt>
                <c:pt idx="120">
                  <c:v>2924.4303174900924</c:v>
                </c:pt>
                <c:pt idx="121">
                  <c:v>2922.9523576930023</c:v>
                </c:pt>
                <c:pt idx="122">
                  <c:v>2847.1109835578504</c:v>
                </c:pt>
                <c:pt idx="123">
                  <c:v>2878.3838848430109</c:v>
                </c:pt>
                <c:pt idx="124">
                  <c:v>2869.1561113139273</c:v>
                </c:pt>
                <c:pt idx="125">
                  <c:v>2887.9387900043421</c:v>
                </c:pt>
                <c:pt idx="126">
                  <c:v>2924.5770989022708</c:v>
                </c:pt>
                <c:pt idx="127">
                  <c:v>2926.4581286088824</c:v>
                </c:pt>
                <c:pt idx="128">
                  <c:v>2906.2711064674472</c:v>
                </c:pt>
                <c:pt idx="129">
                  <c:v>2937.7790248924434</c:v>
                </c:pt>
                <c:pt idx="130">
                  <c:v>2975.99744554974</c:v>
                </c:pt>
                <c:pt idx="131">
                  <c:v>2978.7078106171421</c:v>
                </c:pt>
                <c:pt idx="132">
                  <c:v>2978.4337960358221</c:v>
                </c:pt>
                <c:pt idx="133">
                  <c:v>2979.3855462978045</c:v>
                </c:pt>
                <c:pt idx="134">
                  <c:v>3000.926355136351</c:v>
                </c:pt>
                <c:pt idx="135">
                  <c:v>3009.5718752192215</c:v>
                </c:pt>
                <c:pt idx="136">
                  <c:v>3007.3873736277542</c:v>
                </c:pt>
                <c:pt idx="137">
                  <c:v>2997.9595912212417</c:v>
                </c:pt>
                <c:pt idx="138">
                  <c:v>3005.6964617529316</c:v>
                </c:pt>
                <c:pt idx="139">
                  <c:v>3006.729985500393</c:v>
                </c:pt>
                <c:pt idx="140">
                  <c:v>3006.790781830704</c:v>
                </c:pt>
                <c:pt idx="141">
                  <c:v>2992.0722935071785</c:v>
                </c:pt>
                <c:pt idx="142">
                  <c:v>2991.7790334705755</c:v>
                </c:pt>
                <c:pt idx="143">
                  <c:v>2966.5960039121405</c:v>
                </c:pt>
                <c:pt idx="144">
                  <c:v>2984.8683331356365</c:v>
                </c:pt>
                <c:pt idx="145">
                  <c:v>2977.6174364771396</c:v>
                </c:pt>
                <c:pt idx="146">
                  <c:v>2961.7931162999603</c:v>
                </c:pt>
                <c:pt idx="147">
                  <c:v>2976.7372717443327</c:v>
                </c:pt>
                <c:pt idx="148">
                  <c:v>2940.2485884777147</c:v>
                </c:pt>
                <c:pt idx="149">
                  <c:v>2887.606504162995</c:v>
                </c:pt>
                <c:pt idx="150">
                  <c:v>2910.6340405401388</c:v>
                </c:pt>
                <c:pt idx="151">
                  <c:v>2952.0075644403978</c:v>
                </c:pt>
                <c:pt idx="152">
                  <c:v>2938.7893931237022</c:v>
                </c:pt>
                <c:pt idx="153">
                  <c:v>2893.0555807820838</c:v>
                </c:pt>
                <c:pt idx="154">
                  <c:v>2919.4000974809646</c:v>
                </c:pt>
                <c:pt idx="155">
                  <c:v>2938.1323548147861</c:v>
                </c:pt>
                <c:pt idx="156">
                  <c:v>2970.2695448855425</c:v>
                </c:pt>
                <c:pt idx="157">
                  <c:v>2966.1504555803626</c:v>
                </c:pt>
                <c:pt idx="158">
                  <c:v>2995.6831330241921</c:v>
                </c:pt>
                <c:pt idx="159">
                  <c:v>2989.693781043632</c:v>
                </c:pt>
                <c:pt idx="160">
                  <c:v>2997.9528862060724</c:v>
                </c:pt>
                <c:pt idx="161">
                  <c:v>2986.2034836123844</c:v>
                </c:pt>
                <c:pt idx="162">
                  <c:v>3006.7242822969392</c:v>
                </c:pt>
                <c:pt idx="163">
                  <c:v>2995.9929636091292</c:v>
                </c:pt>
                <c:pt idx="164">
                  <c:v>3004.524330502762</c:v>
                </c:pt>
                <c:pt idx="165">
                  <c:v>3010.2853025981613</c:v>
                </c:pt>
                <c:pt idx="166">
                  <c:v>3022.549643690118</c:v>
                </c:pt>
                <c:pt idx="167">
                  <c:v>3039.4199220226506</c:v>
                </c:pt>
                <c:pt idx="168">
                  <c:v>3036.8922475774289</c:v>
                </c:pt>
                <c:pt idx="169">
                  <c:v>3046.7662003716096</c:v>
                </c:pt>
                <c:pt idx="170">
                  <c:v>3037.5644352599625</c:v>
                </c:pt>
                <c:pt idx="171">
                  <c:v>3066.914735031588</c:v>
                </c:pt>
                <c:pt idx="172">
                  <c:v>3078.2697296470428</c:v>
                </c:pt>
                <c:pt idx="173">
                  <c:v>3074.6159174574223</c:v>
                </c:pt>
                <c:pt idx="174">
                  <c:v>3076.7753427904145</c:v>
                </c:pt>
                <c:pt idx="175">
                  <c:v>3085.1818609346037</c:v>
                </c:pt>
                <c:pt idx="176">
                  <c:v>3093.0848032675412</c:v>
                </c:pt>
                <c:pt idx="177">
                  <c:v>3087.0050177695357</c:v>
                </c:pt>
                <c:pt idx="178">
                  <c:v>3091.839016023886</c:v>
                </c:pt>
                <c:pt idx="179">
                  <c:v>3094.0353401605175</c:v>
                </c:pt>
                <c:pt idx="180">
                  <c:v>3096.6331268924378</c:v>
                </c:pt>
                <c:pt idx="181">
                  <c:v>3120.4604032335037</c:v>
                </c:pt>
                <c:pt idx="182">
                  <c:v>3122.028006676167</c:v>
                </c:pt>
                <c:pt idx="183">
                  <c:v>3120.1812842673753</c:v>
                </c:pt>
                <c:pt idx="184">
                  <c:v>3108.4581501789567</c:v>
                </c:pt>
                <c:pt idx="185">
                  <c:v>3103.5369124181698</c:v>
                </c:pt>
                <c:pt idx="186">
                  <c:v>3110.2883488152388</c:v>
                </c:pt>
                <c:pt idx="187">
                  <c:v>3133.6428229301277</c:v>
                </c:pt>
                <c:pt idx="188">
                  <c:v>3140.5198640129411</c:v>
                </c:pt>
                <c:pt idx="189">
                  <c:v>3153.6280711461113</c:v>
                </c:pt>
                <c:pt idx="190">
                  <c:v>3140.9806277025359</c:v>
                </c:pt>
                <c:pt idx="191">
                  <c:v>3113.8736307849322</c:v>
                </c:pt>
                <c:pt idx="192">
                  <c:v>3093.2009127132724</c:v>
                </c:pt>
                <c:pt idx="193">
                  <c:v>3112.7563453632383</c:v>
                </c:pt>
                <c:pt idx="194">
                  <c:v>3117.4285883067314</c:v>
                </c:pt>
                <c:pt idx="195">
                  <c:v>3145.9110261640335</c:v>
                </c:pt>
                <c:pt idx="196">
                  <c:v>3135.9613835822133</c:v>
                </c:pt>
                <c:pt idx="197">
                  <c:v>3132.5186065152216</c:v>
                </c:pt>
                <c:pt idx="198">
                  <c:v>3141.6266769632507</c:v>
                </c:pt>
                <c:pt idx="199">
                  <c:v>3168.5691707344458</c:v>
                </c:pt>
                <c:pt idx="200">
                  <c:v>3168.7996331577629</c:v>
                </c:pt>
                <c:pt idx="201">
                  <c:v>3191.4490189645671</c:v>
                </c:pt>
                <c:pt idx="202">
                  <c:v>3192.5185799434958</c:v>
                </c:pt>
                <c:pt idx="203">
                  <c:v>3191.1420439248</c:v>
                </c:pt>
                <c:pt idx="204">
                  <c:v>3205.3683778174791</c:v>
                </c:pt>
                <c:pt idx="205">
                  <c:v>3221.2245831094338</c:v>
                </c:pt>
                <c:pt idx="206">
                  <c:v>3224.0098859051418</c:v>
                </c:pt>
                <c:pt idx="207">
                  <c:v>3223.3757001893691</c:v>
                </c:pt>
                <c:pt idx="208">
                  <c:v>3239.9071377461237</c:v>
                </c:pt>
                <c:pt idx="209">
                  <c:v>3240.0203584226101</c:v>
                </c:pt>
                <c:pt idx="210">
                  <c:v>3221.2918082338774</c:v>
                </c:pt>
                <c:pt idx="211">
                  <c:v>3230.7819500904302</c:v>
                </c:pt>
                <c:pt idx="212">
                  <c:v>3257.8477866115977</c:v>
                </c:pt>
                <c:pt idx="213">
                  <c:v>3234.848563238078</c:v>
                </c:pt>
                <c:pt idx="214">
                  <c:v>3246.28255667863</c:v>
                </c:pt>
                <c:pt idx="215">
                  <c:v>3237.1824519689726</c:v>
                </c:pt>
                <c:pt idx="216">
                  <c:v>3253.0459435601724</c:v>
                </c:pt>
                <c:pt idx="217">
                  <c:v>3274.7041934341169</c:v>
                </c:pt>
                <c:pt idx="218">
                  <c:v>3265.3511353379699</c:v>
                </c:pt>
                <c:pt idx="219">
                  <c:v>3288.1335398178521</c:v>
                </c:pt>
                <c:pt idx="220">
                  <c:v>3283.1524483937824</c:v>
                </c:pt>
                <c:pt idx="221">
                  <c:v>3289.2925874927155</c:v>
                </c:pt>
                <c:pt idx="222">
                  <c:v>3316.8058915649876</c:v>
                </c:pt>
                <c:pt idx="223">
                  <c:v>3329.6226582021523</c:v>
                </c:pt>
                <c:pt idx="224">
                  <c:v>3320.7908480590531</c:v>
                </c:pt>
                <c:pt idx="225">
                  <c:v>3321.7468532716007</c:v>
                </c:pt>
                <c:pt idx="226">
                  <c:v>3325.5427890205528</c:v>
                </c:pt>
                <c:pt idx="227">
                  <c:v>3295.4734493136125</c:v>
                </c:pt>
                <c:pt idx="228">
                  <c:v>3243.6282038311633</c:v>
                </c:pt>
                <c:pt idx="229">
                  <c:v>3276.2434398222117</c:v>
                </c:pt>
                <c:pt idx="230">
                  <c:v>3273.4026027104387</c:v>
                </c:pt>
                <c:pt idx="231">
                  <c:v>3283.6590434890768</c:v>
                </c:pt>
                <c:pt idx="232">
                  <c:v>3225.5163164640862</c:v>
                </c:pt>
                <c:pt idx="233">
                  <c:v>3248.924997360969</c:v>
                </c:pt>
                <c:pt idx="234">
                  <c:v>3297.5882162895978</c:v>
                </c:pt>
                <c:pt idx="235">
                  <c:v>3334.6942869918003</c:v>
                </c:pt>
                <c:pt idx="236">
                  <c:v>3345.7808623719498</c:v>
                </c:pt>
                <c:pt idx="237">
                  <c:v>3327.7068678737205</c:v>
                </c:pt>
                <c:pt idx="238">
                  <c:v>3352.0939509405812</c:v>
                </c:pt>
                <c:pt idx="239">
                  <c:v>3357.7472605343942</c:v>
                </c:pt>
                <c:pt idx="240">
                  <c:v>3379.4521901708717</c:v>
                </c:pt>
                <c:pt idx="241">
                  <c:v>3373.9373709163533</c:v>
                </c:pt>
                <c:pt idx="242">
                  <c:v>3380.1573755321256</c:v>
                </c:pt>
                <c:pt idx="243">
                  <c:v>3370.2864814712466</c:v>
                </c:pt>
                <c:pt idx="244">
                  <c:v>3386.1527183522226</c:v>
                </c:pt>
                <c:pt idx="245">
                  <c:v>3373.2315060711771</c:v>
                </c:pt>
                <c:pt idx="246">
                  <c:v>3337.7470178774652</c:v>
                </c:pt>
                <c:pt idx="247">
                  <c:v>3225.8864022371604</c:v>
                </c:pt>
                <c:pt idx="248">
                  <c:v>3128.2065811070738</c:v>
                </c:pt>
                <c:pt idx="249">
                  <c:v>3116.3898493057295</c:v>
                </c:pt>
                <c:pt idx="250">
                  <c:v>2978.7578316585978</c:v>
                </c:pt>
                <c:pt idx="251">
                  <c:v>2954.223684368626</c:v>
                </c:pt>
                <c:pt idx="252">
                  <c:v>3090.232840454777</c:v>
                </c:pt>
                <c:pt idx="253">
                  <c:v>3003.3651720328107</c:v>
                </c:pt>
                <c:pt idx="254">
                  <c:v>3130.1168787338538</c:v>
                </c:pt>
                <c:pt idx="255">
                  <c:v>3023.9403107854264</c:v>
                </c:pt>
                <c:pt idx="256">
                  <c:v>2972.371907121661</c:v>
                </c:pt>
                <c:pt idx="257">
                  <c:v>2746.5595752904615</c:v>
                </c:pt>
                <c:pt idx="258">
                  <c:v>2882.2254994584414</c:v>
                </c:pt>
                <c:pt idx="259">
                  <c:v>2741.3835884969585</c:v>
                </c:pt>
                <c:pt idx="260">
                  <c:v>2480.6410621926866</c:v>
                </c:pt>
                <c:pt idx="261">
                  <c:v>2711.0216933696265</c:v>
                </c:pt>
                <c:pt idx="262">
                  <c:v>2386.1339329628086</c:v>
                </c:pt>
                <c:pt idx="263">
                  <c:v>2529.194198768505</c:v>
                </c:pt>
                <c:pt idx="264">
                  <c:v>2398.0952205749618</c:v>
                </c:pt>
                <c:pt idx="265">
                  <c:v>2409.3865927922111</c:v>
                </c:pt>
                <c:pt idx="266">
                  <c:v>2304.9163004028178</c:v>
                </c:pt>
                <c:pt idx="267">
                  <c:v>2237.3953981131535</c:v>
                </c:pt>
                <c:pt idx="268">
                  <c:v>2447.330367564161</c:v>
                </c:pt>
                <c:pt idx="269">
                  <c:v>2475.5583346509384</c:v>
                </c:pt>
                <c:pt idx="270">
                  <c:v>2630.067156173207</c:v>
                </c:pt>
                <c:pt idx="271">
                  <c:v>2541.4696507809654</c:v>
                </c:pt>
                <c:pt idx="272">
                  <c:v>2626.6457614821329</c:v>
                </c:pt>
                <c:pt idx="273">
                  <c:v>2584.5907599343082</c:v>
                </c:pt>
                <c:pt idx="274">
                  <c:v>2470.5044097902091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79-594D-80B9-46E34E07A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9204848"/>
        <c:axId val="1"/>
      </c:lineChart>
      <c:catAx>
        <c:axId val="11092048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3502"/>
          <c:min val="212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2048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3465404032970184"/>
          <c:y val="0.93982147189120813"/>
          <c:w val="0.18845901999257747"/>
          <c:h val="4.45040808416449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784789432441196"/>
          <c:y val="3.14146452999846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948032495881395E-2"/>
          <c:y val="0.17016266204158365"/>
          <c:w val="0.92651580080279272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S&amp;P 500 Household Products (Industry) (^SP500-303010) - Index Value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'[4]Pane 1'!$A$37:$A$311</c:f>
              <c:numCache>
                <c:formatCode>General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'[4]Pane 1'!$B$37:$B$311</c:f>
              <c:numCache>
                <c:formatCode>General</c:formatCode>
                <c:ptCount val="275"/>
                <c:pt idx="0">
                  <c:v>629.46544190781663</c:v>
                </c:pt>
                <c:pt idx="1">
                  <c:v>631.88884850960119</c:v>
                </c:pt>
                <c:pt idx="2">
                  <c:v>632.12789705319756</c:v>
                </c:pt>
                <c:pt idx="3">
                  <c:v>630.89709731548692</c:v>
                </c:pt>
                <c:pt idx="4">
                  <c:v>628.55609955854129</c:v>
                </c:pt>
                <c:pt idx="5">
                  <c:v>628.55463888199017</c:v>
                </c:pt>
                <c:pt idx="6">
                  <c:v>635.69262874601998</c:v>
                </c:pt>
                <c:pt idx="7">
                  <c:v>637.5940077553737</c:v>
                </c:pt>
                <c:pt idx="8">
                  <c:v>644.21302159349432</c:v>
                </c:pt>
                <c:pt idx="9">
                  <c:v>644.3242384584828</c:v>
                </c:pt>
                <c:pt idx="10">
                  <c:v>651.70114666930476</c:v>
                </c:pt>
                <c:pt idx="11">
                  <c:v>645.70945647197561</c:v>
                </c:pt>
                <c:pt idx="12">
                  <c:v>646.01892417673764</c:v>
                </c:pt>
                <c:pt idx="13">
                  <c:v>643.72094670617946</c:v>
                </c:pt>
                <c:pt idx="14">
                  <c:v>649.86348770965787</c:v>
                </c:pt>
                <c:pt idx="15">
                  <c:v>647.14786804926166</c:v>
                </c:pt>
                <c:pt idx="16">
                  <c:v>649.06054634498855</c:v>
                </c:pt>
                <c:pt idx="17">
                  <c:v>655.76615082358978</c:v>
                </c:pt>
                <c:pt idx="18">
                  <c:v>655.86850811541501</c:v>
                </c:pt>
                <c:pt idx="19">
                  <c:v>660.65951447201644</c:v>
                </c:pt>
                <c:pt idx="20">
                  <c:v>663.93919285790116</c:v>
                </c:pt>
                <c:pt idx="21">
                  <c:v>661.14180796032508</c:v>
                </c:pt>
                <c:pt idx="22">
                  <c:v>661.45485269871403</c:v>
                </c:pt>
                <c:pt idx="23">
                  <c:v>659.8205545060938</c:v>
                </c:pt>
                <c:pt idx="24">
                  <c:v>658.69541538863143</c:v>
                </c:pt>
                <c:pt idx="25">
                  <c:v>659.66761061421676</c:v>
                </c:pt>
                <c:pt idx="26">
                  <c:v>664.68047717139837</c:v>
                </c:pt>
                <c:pt idx="27">
                  <c:v>663.52036944712859</c:v>
                </c:pt>
                <c:pt idx="28">
                  <c:v>663.92822205461414</c:v>
                </c:pt>
                <c:pt idx="29">
                  <c:v>665.35824336731355</c:v>
                </c:pt>
                <c:pt idx="30">
                  <c:v>668.07762598212332</c:v>
                </c:pt>
                <c:pt idx="31">
                  <c:v>670.40007861993513</c:v>
                </c:pt>
                <c:pt idx="32">
                  <c:v>673.3887756418319</c:v>
                </c:pt>
                <c:pt idx="33">
                  <c:v>670.75729982318069</c:v>
                </c:pt>
                <c:pt idx="34">
                  <c:v>672.77611245357434</c:v>
                </c:pt>
                <c:pt idx="35">
                  <c:v>676.98337015407287</c:v>
                </c:pt>
                <c:pt idx="36">
                  <c:v>661.32772142888859</c:v>
                </c:pt>
                <c:pt idx="37">
                  <c:v>662.69751482785807</c:v>
                </c:pt>
                <c:pt idx="38">
                  <c:v>660.76354968068699</c:v>
                </c:pt>
                <c:pt idx="39">
                  <c:v>677.01341791689845</c:v>
                </c:pt>
                <c:pt idx="40">
                  <c:v>671.97887940797852</c:v>
                </c:pt>
                <c:pt idx="41">
                  <c:v>684.02675194667461</c:v>
                </c:pt>
                <c:pt idx="42">
                  <c:v>670.78919209146068</c:v>
                </c:pt>
                <c:pt idx="43">
                  <c:v>675.72490625154228</c:v>
                </c:pt>
                <c:pt idx="44">
                  <c:v>677.95688994080649</c:v>
                </c:pt>
                <c:pt idx="45">
                  <c:v>675.96822291231001</c:v>
                </c:pt>
                <c:pt idx="46">
                  <c:v>668.87860955311885</c:v>
                </c:pt>
                <c:pt idx="47">
                  <c:v>671.70566278842364</c:v>
                </c:pt>
                <c:pt idx="48">
                  <c:v>667.16810985761788</c:v>
                </c:pt>
                <c:pt idx="49">
                  <c:v>676.65201457457408</c:v>
                </c:pt>
                <c:pt idx="50">
                  <c:v>677.84968913370926</c:v>
                </c:pt>
                <c:pt idx="51">
                  <c:v>673.8839100104575</c:v>
                </c:pt>
                <c:pt idx="52">
                  <c:v>680.05899941465987</c:v>
                </c:pt>
                <c:pt idx="53">
                  <c:v>687.88438383243442</c:v>
                </c:pt>
                <c:pt idx="54">
                  <c:v>684.06186895490964</c:v>
                </c:pt>
                <c:pt idx="55">
                  <c:v>683.81863964571471</c:v>
                </c:pt>
                <c:pt idx="56">
                  <c:v>679.89605253974162</c:v>
                </c:pt>
                <c:pt idx="57">
                  <c:v>682.43516366167466</c:v>
                </c:pt>
                <c:pt idx="58">
                  <c:v>683.35969748627429</c:v>
                </c:pt>
                <c:pt idx="59">
                  <c:v>681.66501751902331</c:v>
                </c:pt>
                <c:pt idx="60">
                  <c:v>668.44400290461829</c:v>
                </c:pt>
                <c:pt idx="61">
                  <c:v>667.24417681518116</c:v>
                </c:pt>
                <c:pt idx="62">
                  <c:v>675.3520630724579</c:v>
                </c:pt>
                <c:pt idx="63">
                  <c:v>661.85156185744086</c:v>
                </c:pt>
                <c:pt idx="64">
                  <c:v>670.30909883726622</c:v>
                </c:pt>
                <c:pt idx="65">
                  <c:v>674.07248851510155</c:v>
                </c:pt>
                <c:pt idx="66">
                  <c:v>686.67068636635327</c:v>
                </c:pt>
                <c:pt idx="67">
                  <c:v>692.19978974947935</c:v>
                </c:pt>
                <c:pt idx="68">
                  <c:v>699.55811046879091</c:v>
                </c:pt>
                <c:pt idx="69">
                  <c:v>697.6160317643803</c:v>
                </c:pt>
                <c:pt idx="70">
                  <c:v>700.34240570767599</c:v>
                </c:pt>
                <c:pt idx="71">
                  <c:v>702.36785168109236</c:v>
                </c:pt>
                <c:pt idx="72">
                  <c:v>707.48337468932289</c:v>
                </c:pt>
                <c:pt idx="73">
                  <c:v>710.01493109499552</c:v>
                </c:pt>
                <c:pt idx="74">
                  <c:v>708.6030344537071</c:v>
                </c:pt>
                <c:pt idx="75">
                  <c:v>700.7902359804192</c:v>
                </c:pt>
                <c:pt idx="76">
                  <c:v>704.81876947578678</c:v>
                </c:pt>
                <c:pt idx="77">
                  <c:v>711.0325426002936</c:v>
                </c:pt>
                <c:pt idx="78">
                  <c:v>707.35090563105962</c:v>
                </c:pt>
                <c:pt idx="79">
                  <c:v>714.89151323010401</c:v>
                </c:pt>
                <c:pt idx="80">
                  <c:v>711.493051628594</c:v>
                </c:pt>
                <c:pt idx="81">
                  <c:v>697.13502765651629</c:v>
                </c:pt>
                <c:pt idx="82">
                  <c:v>697.63717723500849</c:v>
                </c:pt>
                <c:pt idx="83">
                  <c:v>696.20734937004613</c:v>
                </c:pt>
                <c:pt idx="84">
                  <c:v>701.63911791025862</c:v>
                </c:pt>
                <c:pt idx="85">
                  <c:v>707.48045510451061</c:v>
                </c:pt>
                <c:pt idx="86">
                  <c:v>722.45841620202896</c:v>
                </c:pt>
                <c:pt idx="87">
                  <c:v>716.091799709822</c:v>
                </c:pt>
                <c:pt idx="88">
                  <c:v>721.12007649850011</c:v>
                </c:pt>
                <c:pt idx="89">
                  <c:v>714.61373489021491</c:v>
                </c:pt>
                <c:pt idx="90">
                  <c:v>719.25755531728112</c:v>
                </c:pt>
                <c:pt idx="91">
                  <c:v>722.68277031232128</c:v>
                </c:pt>
                <c:pt idx="92">
                  <c:v>727.35433606606421</c:v>
                </c:pt>
                <c:pt idx="93">
                  <c:v>729.22585907831103</c:v>
                </c:pt>
                <c:pt idx="94">
                  <c:v>731.55306536390333</c:v>
                </c:pt>
                <c:pt idx="95">
                  <c:v>730.36252565579571</c:v>
                </c:pt>
                <c:pt idx="96">
                  <c:v>729.20842660314077</c:v>
                </c:pt>
                <c:pt idx="97">
                  <c:v>724.22088199887583</c:v>
                </c:pt>
                <c:pt idx="98">
                  <c:v>723.96277087299939</c:v>
                </c:pt>
                <c:pt idx="99">
                  <c:v>718.72924905050843</c:v>
                </c:pt>
                <c:pt idx="100">
                  <c:v>711.30360334113618</c:v>
                </c:pt>
                <c:pt idx="101">
                  <c:v>713.54120634222159</c:v>
                </c:pt>
                <c:pt idx="102">
                  <c:v>726.35545311974158</c:v>
                </c:pt>
                <c:pt idx="103">
                  <c:v>734.8409376035388</c:v>
                </c:pt>
                <c:pt idx="104">
                  <c:v>752.19550746232699</c:v>
                </c:pt>
                <c:pt idx="105">
                  <c:v>735.52868234569678</c:v>
                </c:pt>
                <c:pt idx="106">
                  <c:v>727.34580043018468</c:v>
                </c:pt>
                <c:pt idx="107">
                  <c:v>726.56980626964753</c:v>
                </c:pt>
                <c:pt idx="108">
                  <c:v>707.43348171514072</c:v>
                </c:pt>
                <c:pt idx="109">
                  <c:v>714.48878202199899</c:v>
                </c:pt>
                <c:pt idx="110">
                  <c:v>722.60083338119136</c:v>
                </c:pt>
                <c:pt idx="111">
                  <c:v>734.59199319148115</c:v>
                </c:pt>
                <c:pt idx="112">
                  <c:v>731.12145622163871</c:v>
                </c:pt>
                <c:pt idx="113">
                  <c:v>726.93685734914811</c:v>
                </c:pt>
                <c:pt idx="114">
                  <c:v>734.77287447155504</c:v>
                </c:pt>
                <c:pt idx="115">
                  <c:v>724.82727882150766</c:v>
                </c:pt>
                <c:pt idx="116">
                  <c:v>735.04062845507849</c:v>
                </c:pt>
                <c:pt idx="117">
                  <c:v>745.3090677107092</c:v>
                </c:pt>
                <c:pt idx="118">
                  <c:v>752.26370602900886</c:v>
                </c:pt>
                <c:pt idx="119">
                  <c:v>743.18816174858728</c:v>
                </c:pt>
                <c:pt idx="120">
                  <c:v>745.6120112700039</c:v>
                </c:pt>
                <c:pt idx="121">
                  <c:v>747.46865435650773</c:v>
                </c:pt>
                <c:pt idx="122">
                  <c:v>734.64562843258238</c:v>
                </c:pt>
                <c:pt idx="123">
                  <c:v>745.26430616163645</c:v>
                </c:pt>
                <c:pt idx="124">
                  <c:v>752.43071390788396</c:v>
                </c:pt>
                <c:pt idx="125">
                  <c:v>757.73436342902846</c:v>
                </c:pt>
                <c:pt idx="126">
                  <c:v>756.74430007049568</c:v>
                </c:pt>
                <c:pt idx="127">
                  <c:v>752.01440976529932</c:v>
                </c:pt>
                <c:pt idx="128">
                  <c:v>758.09160232434715</c:v>
                </c:pt>
                <c:pt idx="129">
                  <c:v>767.80519311357182</c:v>
                </c:pt>
                <c:pt idx="130">
                  <c:v>761.72940951975818</c:v>
                </c:pt>
                <c:pt idx="131">
                  <c:v>761.26837329277498</c:v>
                </c:pt>
                <c:pt idx="132">
                  <c:v>751.77647199253431</c:v>
                </c:pt>
                <c:pt idx="133">
                  <c:v>738.66890080234577</c:v>
                </c:pt>
                <c:pt idx="134">
                  <c:v>746.17811736431963</c:v>
                </c:pt>
                <c:pt idx="135">
                  <c:v>753.15823140033001</c:v>
                </c:pt>
                <c:pt idx="136">
                  <c:v>746.99907194804427</c:v>
                </c:pt>
                <c:pt idx="137">
                  <c:v>732.32207919887901</c:v>
                </c:pt>
                <c:pt idx="138">
                  <c:v>741.11333885187435</c:v>
                </c:pt>
                <c:pt idx="139">
                  <c:v>744.16640607519389</c:v>
                </c:pt>
                <c:pt idx="140">
                  <c:v>746.72409510672014</c:v>
                </c:pt>
                <c:pt idx="141">
                  <c:v>748.16168920980749</c:v>
                </c:pt>
                <c:pt idx="142">
                  <c:v>753.94561775259081</c:v>
                </c:pt>
                <c:pt idx="143">
                  <c:v>757.8948604827583</c:v>
                </c:pt>
                <c:pt idx="144">
                  <c:v>754.73928758407283</c:v>
                </c:pt>
                <c:pt idx="145">
                  <c:v>762.69664662209129</c:v>
                </c:pt>
                <c:pt idx="146">
                  <c:v>766.5176571615807</c:v>
                </c:pt>
                <c:pt idx="147">
                  <c:v>765.73673456708639</c:v>
                </c:pt>
                <c:pt idx="148">
                  <c:v>760.78112667128653</c:v>
                </c:pt>
                <c:pt idx="149">
                  <c:v>745.77599921789965</c:v>
                </c:pt>
                <c:pt idx="150">
                  <c:v>748.61118532051614</c:v>
                </c:pt>
                <c:pt idx="151">
                  <c:v>762.07712015266691</c:v>
                </c:pt>
                <c:pt idx="152">
                  <c:v>755.74353321897411</c:v>
                </c:pt>
                <c:pt idx="153">
                  <c:v>744.27857333323504</c:v>
                </c:pt>
                <c:pt idx="154">
                  <c:v>748.87737950152246</c:v>
                </c:pt>
                <c:pt idx="155">
                  <c:v>749.23405779574114</c:v>
                </c:pt>
                <c:pt idx="156">
                  <c:v>744.45654546980302</c:v>
                </c:pt>
                <c:pt idx="157">
                  <c:v>736.61781959897496</c:v>
                </c:pt>
                <c:pt idx="158">
                  <c:v>722.15796807312552</c:v>
                </c:pt>
                <c:pt idx="159">
                  <c:v>723.36127228805969</c:v>
                </c:pt>
                <c:pt idx="160">
                  <c:v>720.97535486657046</c:v>
                </c:pt>
                <c:pt idx="161">
                  <c:v>725.42738693736123</c:v>
                </c:pt>
                <c:pt idx="162">
                  <c:v>733.42282263792129</c:v>
                </c:pt>
                <c:pt idx="163">
                  <c:v>738.9997838491164</c:v>
                </c:pt>
                <c:pt idx="164">
                  <c:v>746.63852063894137</c:v>
                </c:pt>
                <c:pt idx="165">
                  <c:v>756.12691581618662</c:v>
                </c:pt>
                <c:pt idx="166">
                  <c:v>749.03858851633868</c:v>
                </c:pt>
                <c:pt idx="167">
                  <c:v>746.90666450115066</c:v>
                </c:pt>
                <c:pt idx="168">
                  <c:v>748.16054767611479</c:v>
                </c:pt>
                <c:pt idx="169">
                  <c:v>756.09227712804773</c:v>
                </c:pt>
                <c:pt idx="170">
                  <c:v>750.98622085951831</c:v>
                </c:pt>
                <c:pt idx="171">
                  <c:v>744.68164108207998</c:v>
                </c:pt>
                <c:pt idx="172">
                  <c:v>720.41944171362718</c:v>
                </c:pt>
                <c:pt idx="173">
                  <c:v>721.3971315974203</c:v>
                </c:pt>
                <c:pt idx="174">
                  <c:v>729.14087410350066</c:v>
                </c:pt>
                <c:pt idx="175">
                  <c:v>726.28047252270039</c:v>
                </c:pt>
                <c:pt idx="176">
                  <c:v>726.4642499114691</c:v>
                </c:pt>
                <c:pt idx="177">
                  <c:v>724.39450351576795</c:v>
                </c:pt>
                <c:pt idx="178">
                  <c:v>723.85880418440365</c:v>
                </c:pt>
                <c:pt idx="179">
                  <c:v>731.49521796961062</c:v>
                </c:pt>
                <c:pt idx="180">
                  <c:v>730.15767717385802</c:v>
                </c:pt>
                <c:pt idx="181">
                  <c:v>729.02890409143367</c:v>
                </c:pt>
                <c:pt idx="182">
                  <c:v>736.59668894878121</c:v>
                </c:pt>
                <c:pt idx="183">
                  <c:v>735.44763378267794</c:v>
                </c:pt>
                <c:pt idx="184">
                  <c:v>740.37823970832756</c:v>
                </c:pt>
                <c:pt idx="185">
                  <c:v>730.32657761124597</c:v>
                </c:pt>
                <c:pt idx="186">
                  <c:v>730.36865901134581</c:v>
                </c:pt>
                <c:pt idx="187">
                  <c:v>731.33374898068791</c:v>
                </c:pt>
                <c:pt idx="188">
                  <c:v>741.36729130284732</c:v>
                </c:pt>
                <c:pt idx="189">
                  <c:v>740.54417889295382</c:v>
                </c:pt>
                <c:pt idx="190">
                  <c:v>741.90276968363219</c:v>
                </c:pt>
                <c:pt idx="191">
                  <c:v>744.23726439629615</c:v>
                </c:pt>
                <c:pt idx="192">
                  <c:v>744.16630532030388</c:v>
                </c:pt>
                <c:pt idx="193">
                  <c:v>753.59153944862999</c:v>
                </c:pt>
                <c:pt idx="194">
                  <c:v>752.97862019894558</c:v>
                </c:pt>
                <c:pt idx="195">
                  <c:v>752.48542732343492</c:v>
                </c:pt>
                <c:pt idx="196">
                  <c:v>756.05268702048852</c:v>
                </c:pt>
                <c:pt idx="197">
                  <c:v>751.63402553102628</c:v>
                </c:pt>
                <c:pt idx="198">
                  <c:v>752.98941986455918</c:v>
                </c:pt>
                <c:pt idx="199">
                  <c:v>751.81575116939212</c:v>
                </c:pt>
                <c:pt idx="200">
                  <c:v>757.71371818714772</c:v>
                </c:pt>
                <c:pt idx="201">
                  <c:v>757.81364385087466</c:v>
                </c:pt>
                <c:pt idx="202">
                  <c:v>754.56797265523676</c:v>
                </c:pt>
                <c:pt idx="203">
                  <c:v>749.65692286601654</c:v>
                </c:pt>
                <c:pt idx="204">
                  <c:v>755.13440842170235</c:v>
                </c:pt>
                <c:pt idx="205">
                  <c:v>758.97536694433677</c:v>
                </c:pt>
                <c:pt idx="206">
                  <c:v>756.17544847022589</c:v>
                </c:pt>
                <c:pt idx="207">
                  <c:v>757.52241661659082</c:v>
                </c:pt>
                <c:pt idx="208">
                  <c:v>757.66968208989897</c:v>
                </c:pt>
                <c:pt idx="209">
                  <c:v>762.88156824151645</c:v>
                </c:pt>
                <c:pt idx="210">
                  <c:v>754.63710215170011</c:v>
                </c:pt>
                <c:pt idx="211">
                  <c:v>757.0070334477922</c:v>
                </c:pt>
                <c:pt idx="212">
                  <c:v>748.48075850820135</c:v>
                </c:pt>
                <c:pt idx="213">
                  <c:v>745.02586906771717</c:v>
                </c:pt>
                <c:pt idx="214">
                  <c:v>746.78202294735206</c:v>
                </c:pt>
                <c:pt idx="215">
                  <c:v>741.54633482751399</c:v>
                </c:pt>
                <c:pt idx="216">
                  <c:v>746.75563009527013</c:v>
                </c:pt>
                <c:pt idx="217">
                  <c:v>754.79479009948614</c:v>
                </c:pt>
                <c:pt idx="218">
                  <c:v>756.47301759395509</c:v>
                </c:pt>
                <c:pt idx="219">
                  <c:v>761.44798286961668</c:v>
                </c:pt>
                <c:pt idx="220">
                  <c:v>761.07753156514241</c:v>
                </c:pt>
                <c:pt idx="221">
                  <c:v>768.11562428687284</c:v>
                </c:pt>
                <c:pt idx="222">
                  <c:v>769.2578977400899</c:v>
                </c:pt>
                <c:pt idx="223">
                  <c:v>772.14699838775573</c:v>
                </c:pt>
                <c:pt idx="224">
                  <c:v>771.52279259625027</c:v>
                </c:pt>
                <c:pt idx="225">
                  <c:v>771.23364468681837</c:v>
                </c:pt>
                <c:pt idx="226">
                  <c:v>765.38521430061792</c:v>
                </c:pt>
                <c:pt idx="227">
                  <c:v>764.83278099922154</c:v>
                </c:pt>
                <c:pt idx="228">
                  <c:v>767.93096094734244</c:v>
                </c:pt>
                <c:pt idx="229">
                  <c:v>768.35751404329937</c:v>
                </c:pt>
                <c:pt idx="230">
                  <c:v>762.2009225258322</c:v>
                </c:pt>
                <c:pt idx="231">
                  <c:v>767.80050153244531</c:v>
                </c:pt>
                <c:pt idx="232">
                  <c:v>768.52715107984716</c:v>
                </c:pt>
                <c:pt idx="233">
                  <c:v>772.57187900532415</c:v>
                </c:pt>
                <c:pt idx="234">
                  <c:v>776.77711810158132</c:v>
                </c:pt>
                <c:pt idx="235">
                  <c:v>783.15793953450668</c:v>
                </c:pt>
                <c:pt idx="236">
                  <c:v>784.87047484640266</c:v>
                </c:pt>
                <c:pt idx="237">
                  <c:v>780.68948262805372</c:v>
                </c:pt>
                <c:pt idx="238">
                  <c:v>784.47624364250839</c:v>
                </c:pt>
                <c:pt idx="239">
                  <c:v>772.87960782812183</c:v>
                </c:pt>
                <c:pt idx="240">
                  <c:v>769.40846866635536</c:v>
                </c:pt>
                <c:pt idx="241">
                  <c:v>776.67161264963147</c:v>
                </c:pt>
                <c:pt idx="242">
                  <c:v>782.80523701293453</c:v>
                </c:pt>
                <c:pt idx="243">
                  <c:v>775.541030543587</c:v>
                </c:pt>
                <c:pt idx="244">
                  <c:v>776.96609237462826</c:v>
                </c:pt>
                <c:pt idx="245">
                  <c:v>780.32434278717653</c:v>
                </c:pt>
                <c:pt idx="246">
                  <c:v>782.16132436585588</c:v>
                </c:pt>
                <c:pt idx="247">
                  <c:v>764.76622044641897</c:v>
                </c:pt>
                <c:pt idx="248">
                  <c:v>755.2872804046375</c:v>
                </c:pt>
                <c:pt idx="249">
                  <c:v>748.24234518793207</c:v>
                </c:pt>
                <c:pt idx="250">
                  <c:v>713.26176032370438</c:v>
                </c:pt>
                <c:pt idx="251">
                  <c:v>703.94398566596283</c:v>
                </c:pt>
                <c:pt idx="252">
                  <c:v>747.73473897113331</c:v>
                </c:pt>
                <c:pt idx="253">
                  <c:v>739.19364008145988</c:v>
                </c:pt>
                <c:pt idx="254">
                  <c:v>777.2645888046909</c:v>
                </c:pt>
                <c:pt idx="255">
                  <c:v>758.29108866073125</c:v>
                </c:pt>
                <c:pt idx="256">
                  <c:v>759.77357746139455</c:v>
                </c:pt>
                <c:pt idx="257">
                  <c:v>728.69027203163853</c:v>
                </c:pt>
                <c:pt idx="258">
                  <c:v>750.63391142603552</c:v>
                </c:pt>
                <c:pt idx="259">
                  <c:v>702.35762290444143</c:v>
                </c:pt>
                <c:pt idx="260">
                  <c:v>643.61760858293792</c:v>
                </c:pt>
                <c:pt idx="261">
                  <c:v>710.52823055244562</c:v>
                </c:pt>
                <c:pt idx="262">
                  <c:v>678.29872732333752</c:v>
                </c:pt>
                <c:pt idx="263">
                  <c:v>743.59203087137018</c:v>
                </c:pt>
                <c:pt idx="264">
                  <c:v>730.00109226598011</c:v>
                </c:pt>
                <c:pt idx="265">
                  <c:v>695.53817532481082</c:v>
                </c:pt>
                <c:pt idx="266">
                  <c:v>646.05074059028277</c:v>
                </c:pt>
                <c:pt idx="267">
                  <c:v>617.18036097482457</c:v>
                </c:pt>
                <c:pt idx="268">
                  <c:v>644.61587491124908</c:v>
                </c:pt>
                <c:pt idx="269">
                  <c:v>630.86324515431272</c:v>
                </c:pt>
                <c:pt idx="270">
                  <c:v>670.32325559418643</c:v>
                </c:pt>
                <c:pt idx="271">
                  <c:v>684.11686354688175</c:v>
                </c:pt>
                <c:pt idx="272">
                  <c:v>711.81955533498922</c:v>
                </c:pt>
                <c:pt idx="273">
                  <c:v>687.60091850755362</c:v>
                </c:pt>
                <c:pt idx="274">
                  <c:v>682.53550458587426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2-8E48-910E-AEB27931E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3283520"/>
        <c:axId val="1"/>
      </c:lineChart>
      <c:catAx>
        <c:axId val="111328352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802"/>
          <c:min val="6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32835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082127776622472"/>
          <c:y val="0.93982147189120813"/>
          <c:w val="0.3956881949752884"/>
          <c:h val="4.45040808416449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Risk-Return</a:t>
            </a:r>
            <a:r>
              <a:rPr lang="en-US" baseline="0"/>
              <a:t> Scatterplot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KMB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'Daily Returns &amp; Scatterplot'!$C$260</c:f>
              <c:numCache>
                <c:formatCode>0.00</c:formatCode>
                <c:ptCount val="1"/>
                <c:pt idx="0">
                  <c:v>1.1827642661823272</c:v>
                </c:pt>
              </c:numCache>
            </c:numRef>
          </c:xVal>
          <c:yVal>
            <c:numRef>
              <c:f>'Daily Returns &amp; Scatterplot'!$B$260</c:f>
              <c:numCache>
                <c:formatCode>0.00</c:formatCode>
                <c:ptCount val="1"/>
                <c:pt idx="0">
                  <c:v>5.71505905788788E-2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44-2F40-800A-E05A4E3D13C9}"/>
            </c:ext>
          </c:extLst>
        </c:ser>
        <c:ser>
          <c:idx val="1"/>
          <c:order val="1"/>
          <c:tx>
            <c:v>S&amp;P 500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'Daily Returns &amp; Scatterplot'!$C$261</c:f>
              <c:numCache>
                <c:formatCode>0.00</c:formatCode>
                <c:ptCount val="1"/>
                <c:pt idx="0">
                  <c:v>0.8493576798410406</c:v>
                </c:pt>
              </c:numCache>
            </c:numRef>
          </c:xVal>
          <c:yVal>
            <c:numRef>
              <c:f>'Daily Returns &amp; Scatterplot'!$B$261</c:f>
              <c:numCache>
                <c:formatCode>0.00</c:formatCode>
                <c:ptCount val="1"/>
                <c:pt idx="0">
                  <c:v>2.4460797927727984E-2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44-2F40-800A-E05A4E3D13C9}"/>
            </c:ext>
          </c:extLst>
        </c:ser>
        <c:ser>
          <c:idx val="2"/>
          <c:order val="2"/>
          <c:tx>
            <c:v>S&amp;P 500 Household Products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'Daily Returns &amp; Scatterplot'!$C$262</c:f>
              <c:numCache>
                <c:formatCode>0.00</c:formatCode>
                <c:ptCount val="1"/>
                <c:pt idx="0">
                  <c:v>0.96132379524467459</c:v>
                </c:pt>
              </c:numCache>
            </c:numRef>
          </c:xVal>
          <c:yVal>
            <c:numRef>
              <c:f>'Daily Returns &amp; Scatterplot'!$B$262</c:f>
              <c:numCache>
                <c:formatCode>0.00</c:formatCode>
                <c:ptCount val="1"/>
                <c:pt idx="0">
                  <c:v>4.9189509982583299E-2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44-2F40-800A-E05A4E3D13C9}"/>
            </c:ext>
          </c:extLst>
        </c:ser>
        <c:ser>
          <c:idx val="3"/>
          <c:order val="3"/>
          <c:tx>
            <c:v>CL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'Daily Returns &amp; Scatterplot'!$C$263</c:f>
              <c:numCache>
                <c:formatCode>0.00</c:formatCode>
                <c:ptCount val="1"/>
                <c:pt idx="0">
                  <c:v>1.1672071138923563</c:v>
                </c:pt>
              </c:numCache>
            </c:numRef>
          </c:xVal>
          <c:yVal>
            <c:numRef>
              <c:f>'Daily Returns &amp; Scatterplot'!$B$263</c:f>
              <c:numCache>
                <c:formatCode>0.00</c:formatCode>
                <c:ptCount val="1"/>
                <c:pt idx="0">
                  <c:v>1.6145960905887682E-2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5-F348-897C-1AD6EA549D48}"/>
            </c:ext>
          </c:extLst>
        </c:ser>
        <c:ser>
          <c:idx val="4"/>
          <c:order val="4"/>
          <c:tx>
            <c:strRef>
              <c:f>'Daily Returns &amp; Scatterplot'!$A$264</c:f>
              <c:strCache>
                <c:ptCount val="1"/>
                <c:pt idx="0">
                  <c:v>PG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'Daily Returns &amp; Scatterplot'!$C$264</c:f>
              <c:numCache>
                <c:formatCode>0.00</c:formatCode>
                <c:ptCount val="1"/>
                <c:pt idx="0">
                  <c:v>1.06</c:v>
                </c:pt>
              </c:numCache>
            </c:numRef>
          </c:xVal>
          <c:yVal>
            <c:numRef>
              <c:f>'Daily Returns &amp; Scatterplot'!$B$264</c:f>
              <c:numCache>
                <c:formatCode>0.00</c:formatCode>
                <c:ptCount val="1"/>
                <c:pt idx="0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75-814C-AAEE-C6268248C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018640"/>
        <c:axId val="1111586640"/>
      </c:scatterChart>
      <c:valAx>
        <c:axId val="111301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586640"/>
        <c:crosses val="autoZero"/>
        <c:crossBetween val="midCat"/>
      </c:valAx>
      <c:valAx>
        <c:axId val="111158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01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Holding</a:t>
            </a:r>
            <a:r>
              <a:rPr lang="en-US" baseline="0"/>
              <a:t> Period Returns of </a:t>
            </a:r>
          </a:p>
          <a:p>
            <a:pPr>
              <a:defRPr/>
            </a:pPr>
            <a:r>
              <a:rPr lang="en-US" baseline="0"/>
              <a:t>Companies and Indexes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'Geometric Average'!$I$2</c:f>
              <c:strCache>
                <c:ptCount val="1"/>
                <c:pt idx="0">
                  <c:v>Kimberly-Clark Corporation (NYSE:KMB) - Share Pricing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'Geometric Average'!$H$3:$H$24</c:f>
              <c:numCache>
                <c:formatCode>[$-409]mmm\-dd\-yyyy;@</c:formatCode>
                <c:ptCount val="2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</c:numCache>
            </c:numRef>
          </c:cat>
          <c:val>
            <c:numRef>
              <c:f>'Geometric Average'!$I$3:$I$24</c:f>
              <c:numCache>
                <c:formatCode>0.00</c:formatCode>
                <c:ptCount val="22"/>
                <c:pt idx="1">
                  <c:v>0.34301521438451688</c:v>
                </c:pt>
                <c:pt idx="2">
                  <c:v>1.4508700484117654</c:v>
                </c:pt>
                <c:pt idx="3">
                  <c:v>1.6774894372380094</c:v>
                </c:pt>
                <c:pt idx="4">
                  <c:v>1.3466740384484337</c:v>
                </c:pt>
                <c:pt idx="5">
                  <c:v>-0.4257931385521716</c:v>
                </c:pt>
                <c:pt idx="6">
                  <c:v>0.13207991957237364</c:v>
                </c:pt>
                <c:pt idx="7">
                  <c:v>2.314086114989804</c:v>
                </c:pt>
                <c:pt idx="8">
                  <c:v>0.57574036245072502</c:v>
                </c:pt>
                <c:pt idx="9">
                  <c:v>1.6027199140888695</c:v>
                </c:pt>
                <c:pt idx="10">
                  <c:v>-0.4858561617710293</c:v>
                </c:pt>
                <c:pt idx="11">
                  <c:v>2.9848241550568706</c:v>
                </c:pt>
                <c:pt idx="12">
                  <c:v>0.1747079279139947</c:v>
                </c:pt>
                <c:pt idx="13">
                  <c:v>1.6179297448897367</c:v>
                </c:pt>
                <c:pt idx="14">
                  <c:v>-0.88915162328732489</c:v>
                </c:pt>
                <c:pt idx="15">
                  <c:v>2.094907418469063</c:v>
                </c:pt>
                <c:pt idx="16">
                  <c:v>1.6004637149556842</c:v>
                </c:pt>
                <c:pt idx="17">
                  <c:v>-7.4431474102074624E-2</c:v>
                </c:pt>
                <c:pt idx="18">
                  <c:v>1.7403548710806516</c:v>
                </c:pt>
                <c:pt idx="19">
                  <c:v>0.78159083720514588</c:v>
                </c:pt>
                <c:pt idx="20">
                  <c:v>1.4297070020697462</c:v>
                </c:pt>
                <c:pt idx="21">
                  <c:v>1.9200975037672829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68-FF47-9BA1-B2EC76619185}"/>
            </c:ext>
          </c:extLst>
        </c:ser>
        <c:ser>
          <c:idx val="1"/>
          <c:order val="1"/>
          <c:tx>
            <c:strRef>
              <c:f>'Geometric Average'!$J$2</c:f>
              <c:strCache>
                <c:ptCount val="1"/>
                <c:pt idx="0">
                  <c:v>S&amp;P 500 (^SPX) - Index 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'Geometric Average'!$H$3:$H$24</c:f>
              <c:numCache>
                <c:formatCode>[$-409]mmm\-dd\-yyyy;@</c:formatCode>
                <c:ptCount val="2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</c:numCache>
            </c:numRef>
          </c:cat>
          <c:val>
            <c:numRef>
              <c:f>'Geometric Average'!$J$3:$J$24</c:f>
              <c:numCache>
                <c:formatCode>0.00</c:formatCode>
                <c:ptCount val="22"/>
                <c:pt idx="1">
                  <c:v>3.81</c:v>
                </c:pt>
                <c:pt idx="2">
                  <c:v>-6.0299999999999994</c:v>
                </c:pt>
                <c:pt idx="3">
                  <c:v>8.61</c:v>
                </c:pt>
                <c:pt idx="4">
                  <c:v>-0.68000000000000016</c:v>
                </c:pt>
                <c:pt idx="5">
                  <c:v>6.89</c:v>
                </c:pt>
                <c:pt idx="6">
                  <c:v>-11.54</c:v>
                </c:pt>
                <c:pt idx="7">
                  <c:v>10.83</c:v>
                </c:pt>
                <c:pt idx="8">
                  <c:v>5.62</c:v>
                </c:pt>
                <c:pt idx="9">
                  <c:v>-17.799999999999997</c:v>
                </c:pt>
                <c:pt idx="10">
                  <c:v>22.27</c:v>
                </c:pt>
                <c:pt idx="11">
                  <c:v>-16.98</c:v>
                </c:pt>
                <c:pt idx="12">
                  <c:v>12.18</c:v>
                </c:pt>
                <c:pt idx="13">
                  <c:v>-4.6499999999999995</c:v>
                </c:pt>
                <c:pt idx="14">
                  <c:v>5.81</c:v>
                </c:pt>
                <c:pt idx="15">
                  <c:v>-0.4099999999999997</c:v>
                </c:pt>
                <c:pt idx="16">
                  <c:v>-11.31</c:v>
                </c:pt>
                <c:pt idx="17">
                  <c:v>9.23</c:v>
                </c:pt>
                <c:pt idx="18">
                  <c:v>-4.09</c:v>
                </c:pt>
                <c:pt idx="19">
                  <c:v>10.61</c:v>
                </c:pt>
                <c:pt idx="20">
                  <c:v>-5.7200000000000006</c:v>
                </c:pt>
                <c:pt idx="21">
                  <c:v>5.95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8-FF47-9BA1-B2EC76619185}"/>
            </c:ext>
          </c:extLst>
        </c:ser>
        <c:ser>
          <c:idx val="2"/>
          <c:order val="2"/>
          <c:tx>
            <c:strRef>
              <c:f>'Geometric Average'!$K$2</c:f>
              <c:strCache>
                <c:ptCount val="1"/>
                <c:pt idx="0">
                  <c:v>S&amp;P 500 Household Products (Industry) (^SP500-303010) - Index 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'Geometric Average'!$H$3:$H$24</c:f>
              <c:numCache>
                <c:formatCode>[$-409]mmm\-dd\-yyyy;@</c:formatCode>
                <c:ptCount val="2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</c:numCache>
            </c:numRef>
          </c:cat>
          <c:val>
            <c:numRef>
              <c:f>'Geometric Average'!$K$3:$K$24</c:f>
              <c:numCache>
                <c:formatCode>0.00</c:formatCode>
                <c:ptCount val="22"/>
                <c:pt idx="1">
                  <c:v>2.1399999999999997</c:v>
                </c:pt>
                <c:pt idx="2">
                  <c:v>-5.29</c:v>
                </c:pt>
                <c:pt idx="3">
                  <c:v>8.59</c:v>
                </c:pt>
                <c:pt idx="4">
                  <c:v>-1.6400000000000001</c:v>
                </c:pt>
                <c:pt idx="5">
                  <c:v>5.29</c:v>
                </c:pt>
                <c:pt idx="6">
                  <c:v>-6.1</c:v>
                </c:pt>
                <c:pt idx="7">
                  <c:v>10.44</c:v>
                </c:pt>
                <c:pt idx="8">
                  <c:v>2.9299999999999997</c:v>
                </c:pt>
                <c:pt idx="9">
                  <c:v>-17.759999999999998</c:v>
                </c:pt>
                <c:pt idx="10">
                  <c:v>15.940000000000001</c:v>
                </c:pt>
                <c:pt idx="11">
                  <c:v>-13.170000000000002</c:v>
                </c:pt>
                <c:pt idx="12">
                  <c:v>12.46</c:v>
                </c:pt>
                <c:pt idx="13">
                  <c:v>3.8899999999999997</c:v>
                </c:pt>
                <c:pt idx="14">
                  <c:v>3.3900000000000006</c:v>
                </c:pt>
                <c:pt idx="15">
                  <c:v>-1.6400000000000006</c:v>
                </c:pt>
                <c:pt idx="16">
                  <c:v>-7.92</c:v>
                </c:pt>
                <c:pt idx="17">
                  <c:v>7.58</c:v>
                </c:pt>
                <c:pt idx="18">
                  <c:v>-7.379999999999999</c:v>
                </c:pt>
                <c:pt idx="19">
                  <c:v>5.1899999999999995</c:v>
                </c:pt>
                <c:pt idx="20">
                  <c:v>-0.98999999999999977</c:v>
                </c:pt>
                <c:pt idx="21">
                  <c:v>8.4499999999999993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8-FF47-9BA1-B2EC76619185}"/>
            </c:ext>
          </c:extLst>
        </c:ser>
        <c:ser>
          <c:idx val="3"/>
          <c:order val="3"/>
          <c:tx>
            <c:v>CL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'Geometric Average'!$H$3:$H$24</c:f>
              <c:numCache>
                <c:formatCode>[$-409]mmm\-dd\-yyyy;@</c:formatCode>
                <c:ptCount val="2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</c:numCache>
            </c:numRef>
          </c:cat>
          <c:val>
            <c:numRef>
              <c:f>'Geometric Average'!$L$3:$L$24</c:f>
              <c:numCache>
                <c:formatCode>0.00</c:formatCode>
                <c:ptCount val="22"/>
                <c:pt idx="1">
                  <c:v>0.95</c:v>
                </c:pt>
                <c:pt idx="2">
                  <c:v>1.52</c:v>
                </c:pt>
                <c:pt idx="3">
                  <c:v>0.70000000000000007</c:v>
                </c:pt>
                <c:pt idx="4">
                  <c:v>1.24</c:v>
                </c:pt>
                <c:pt idx="5">
                  <c:v>0.57000000000000006</c:v>
                </c:pt>
                <c:pt idx="6">
                  <c:v>0.25</c:v>
                </c:pt>
                <c:pt idx="7">
                  <c:v>1.94</c:v>
                </c:pt>
                <c:pt idx="8">
                  <c:v>-0.35999999999999988</c:v>
                </c:pt>
                <c:pt idx="9">
                  <c:v>2.5999999999999996</c:v>
                </c:pt>
                <c:pt idx="10">
                  <c:v>-0.83999999999999986</c:v>
                </c:pt>
                <c:pt idx="11">
                  <c:v>3.7800000000000002</c:v>
                </c:pt>
                <c:pt idx="12">
                  <c:v>0.45999999999999996</c:v>
                </c:pt>
                <c:pt idx="13">
                  <c:v>1.1599999999999999</c:v>
                </c:pt>
                <c:pt idx="14">
                  <c:v>-1.08</c:v>
                </c:pt>
                <c:pt idx="15">
                  <c:v>1.85</c:v>
                </c:pt>
                <c:pt idx="16">
                  <c:v>0.87</c:v>
                </c:pt>
                <c:pt idx="17">
                  <c:v>0.39</c:v>
                </c:pt>
                <c:pt idx="18">
                  <c:v>1.87</c:v>
                </c:pt>
                <c:pt idx="19">
                  <c:v>0.59</c:v>
                </c:pt>
                <c:pt idx="20">
                  <c:v>-0.19999999999999996</c:v>
                </c:pt>
                <c:pt idx="21">
                  <c:v>3.09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C-F945-98C0-EAF99AA14BCD}"/>
            </c:ext>
          </c:extLst>
        </c:ser>
        <c:ser>
          <c:idx val="4"/>
          <c:order val="4"/>
          <c:tx>
            <c:strRef>
              <c:f>'Geometric Average'!$M$2</c:f>
              <c:strCache>
                <c:ptCount val="1"/>
                <c:pt idx="0">
                  <c:v>The Procter &amp; Gamble Company (NYSE:PG) - Share Pricing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'Geometric Average'!$M$4:$M$25</c:f>
              <c:numCache>
                <c:formatCode>0.00</c:formatCode>
                <c:ptCount val="22"/>
                <c:pt idx="0">
                  <c:v>2.16</c:v>
                </c:pt>
                <c:pt idx="1">
                  <c:v>-5.5200000000000005</c:v>
                </c:pt>
                <c:pt idx="2">
                  <c:v>8.67</c:v>
                </c:pt>
                <c:pt idx="3">
                  <c:v>-1.33</c:v>
                </c:pt>
                <c:pt idx="4">
                  <c:v>5.6199999999999992</c:v>
                </c:pt>
                <c:pt idx="5">
                  <c:v>-7.4699999999999989</c:v>
                </c:pt>
                <c:pt idx="6">
                  <c:v>12.3</c:v>
                </c:pt>
                <c:pt idx="7">
                  <c:v>2.3100000000000005</c:v>
                </c:pt>
                <c:pt idx="8">
                  <c:v>-19.75</c:v>
                </c:pt>
                <c:pt idx="9">
                  <c:v>17.89</c:v>
                </c:pt>
                <c:pt idx="10">
                  <c:v>-12.86</c:v>
                </c:pt>
                <c:pt idx="11">
                  <c:v>10.65</c:v>
                </c:pt>
                <c:pt idx="12">
                  <c:v>5.97</c:v>
                </c:pt>
                <c:pt idx="13">
                  <c:v>2.9400000000000004</c:v>
                </c:pt>
                <c:pt idx="14">
                  <c:v>-1.96</c:v>
                </c:pt>
                <c:pt idx="15">
                  <c:v>-9.32</c:v>
                </c:pt>
                <c:pt idx="16">
                  <c:v>8.98</c:v>
                </c:pt>
                <c:pt idx="17">
                  <c:v>-7.68</c:v>
                </c:pt>
                <c:pt idx="18">
                  <c:v>4.8000000000000007</c:v>
                </c:pt>
                <c:pt idx="19">
                  <c:v>-0.7799999999999998</c:v>
                </c:pt>
                <c:pt idx="20">
                  <c:v>9.73</c:v>
                </c:pt>
                <c:pt idx="21">
                  <c:v>-2.7399999999999998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9C-D74C-8018-04747CD38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725072"/>
        <c:axId val="1167527616"/>
      </c:lineChart>
      <c:dateAx>
        <c:axId val="112872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mmm\-dd\-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27616"/>
        <c:crosses val="autoZero"/>
        <c:auto val="1"/>
        <c:lblOffset val="100"/>
        <c:baseTimeUnit val="days"/>
      </c:dateAx>
      <c:valAx>
        <c:axId val="116752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HPR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72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698500</xdr:colOff>
      <xdr:row>2</xdr:row>
      <xdr:rowOff>0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345C9D25-801D-B84A-8D90-D10CB45A5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98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152400</xdr:colOff>
      <xdr:row>2</xdr:row>
      <xdr:rowOff>63500</xdr:rowOff>
    </xdr:from>
    <xdr:to>
      <xdr:col>12</xdr:col>
      <xdr:colOff>609600</xdr:colOff>
      <xdr:row>31</xdr:row>
      <xdr:rowOff>127000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B2223569-9F65-3D41-8F55-3D4530C58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88900</xdr:rowOff>
    </xdr:from>
    <xdr:to>
      <xdr:col>12</xdr:col>
      <xdr:colOff>635000</xdr:colOff>
      <xdr:row>30</xdr:row>
      <xdr:rowOff>152400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AA6EBCA7-A8E3-A548-A07B-A15C7F331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406400</xdr:colOff>
      <xdr:row>1</xdr:row>
      <xdr:rowOff>114300</xdr:rowOff>
    </xdr:from>
    <xdr:to>
      <xdr:col>11</xdr:col>
      <xdr:colOff>152400</xdr:colOff>
      <xdr:row>31</xdr:row>
      <xdr:rowOff>12700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3D55FACF-17AA-AF4C-BC8C-802A365266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177800</xdr:colOff>
      <xdr:row>2</xdr:row>
      <xdr:rowOff>152400</xdr:rowOff>
    </xdr:from>
    <xdr:to>
      <xdr:col>15</xdr:col>
      <xdr:colOff>215900</xdr:colOff>
      <xdr:row>32</xdr:row>
      <xdr:rowOff>50800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669D66F-F628-6B46-BF16-36B582421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342900</xdr:colOff>
      <xdr:row>2</xdr:row>
      <xdr:rowOff>88900</xdr:rowOff>
    </xdr:from>
    <xdr:to>
      <xdr:col>11</xdr:col>
      <xdr:colOff>558800</xdr:colOff>
      <xdr:row>31</xdr:row>
      <xdr:rowOff>152400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5461EA77-2648-BF4B-92CC-6CDB7137F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265</xdr:row>
      <xdr:rowOff>82550</xdr:rowOff>
    </xdr:from>
    <xdr:to>
      <xdr:col>3</xdr:col>
      <xdr:colOff>2400300</xdr:colOff>
      <xdr:row>295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007CB4-9D13-614D-B71A-22C33CA28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25</xdr:row>
      <xdr:rowOff>133350</xdr:rowOff>
    </xdr:from>
    <xdr:to>
      <xdr:col>3</xdr:col>
      <xdr:colOff>1219200</xdr:colOff>
      <xdr:row>53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78BB48-1ADA-FB4E-9A27-FB7C415364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uelgatsos/Downloads/Charting%20Excel%20Export%20-%20Apr%208th%202020%209_21_40%20a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naan/Downloads/Charting%20Excel%20Export%20-%20Apr%203rd%202020%206_35_04%20p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ycom/Downloads/Charting%20Excel%20Export%20-%20Apr%208th%202020%2010_02_32%20am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ycom/Downloads/Charting%20Excel%20Export%20-%20Apr%208th%202020%2010_06_13%20a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 1"/>
      <sheetName val="Raw"/>
      <sheetName val="Attributions"/>
    </sheetNames>
    <sheetDataSet>
      <sheetData sheetId="0">
        <row r="37">
          <cell r="A37">
            <v>43525</v>
          </cell>
          <cell r="B37">
            <v>66</v>
          </cell>
        </row>
        <row r="38">
          <cell r="A38">
            <v>43528</v>
          </cell>
          <cell r="B38">
            <v>66.03</v>
          </cell>
        </row>
        <row r="39">
          <cell r="A39">
            <v>43529</v>
          </cell>
          <cell r="B39">
            <v>65.72</v>
          </cell>
        </row>
        <row r="40">
          <cell r="A40">
            <v>43530</v>
          </cell>
          <cell r="B40">
            <v>65.61</v>
          </cell>
        </row>
        <row r="41">
          <cell r="A41">
            <v>43531</v>
          </cell>
          <cell r="B41">
            <v>65.34</v>
          </cell>
        </row>
        <row r="42">
          <cell r="A42">
            <v>43532</v>
          </cell>
          <cell r="B42">
            <v>65.349999999999994</v>
          </cell>
        </row>
        <row r="43">
          <cell r="A43">
            <v>43535</v>
          </cell>
          <cell r="B43">
            <v>65.849999999999994</v>
          </cell>
        </row>
        <row r="44">
          <cell r="A44">
            <v>43536</v>
          </cell>
          <cell r="B44">
            <v>65.739999999999995</v>
          </cell>
        </row>
        <row r="45">
          <cell r="A45">
            <v>43537</v>
          </cell>
          <cell r="B45">
            <v>66.52</v>
          </cell>
        </row>
        <row r="46">
          <cell r="A46">
            <v>43538</v>
          </cell>
          <cell r="B46">
            <v>66.25</v>
          </cell>
        </row>
        <row r="47">
          <cell r="A47">
            <v>43539</v>
          </cell>
          <cell r="B47">
            <v>67.2</v>
          </cell>
        </row>
        <row r="48">
          <cell r="A48">
            <v>43542</v>
          </cell>
          <cell r="B48">
            <v>66.290000000000006</v>
          </cell>
        </row>
        <row r="49">
          <cell r="A49">
            <v>43543</v>
          </cell>
          <cell r="B49">
            <v>65.75</v>
          </cell>
        </row>
        <row r="50">
          <cell r="A50">
            <v>43544</v>
          </cell>
          <cell r="B50">
            <v>65.11</v>
          </cell>
        </row>
        <row r="51">
          <cell r="A51">
            <v>43545</v>
          </cell>
          <cell r="B51">
            <v>65.83</v>
          </cell>
        </row>
        <row r="52">
          <cell r="A52">
            <v>43546</v>
          </cell>
          <cell r="B52">
            <v>66</v>
          </cell>
        </row>
        <row r="53">
          <cell r="A53">
            <v>43549</v>
          </cell>
          <cell r="B53">
            <v>66.260000000000005</v>
          </cell>
        </row>
        <row r="54">
          <cell r="A54">
            <v>43550</v>
          </cell>
          <cell r="B54">
            <v>66.92</v>
          </cell>
        </row>
        <row r="55">
          <cell r="A55">
            <v>43551</v>
          </cell>
          <cell r="B55">
            <v>67.010000000000005</v>
          </cell>
        </row>
        <row r="56">
          <cell r="A56">
            <v>43552</v>
          </cell>
          <cell r="B56">
            <v>67.37</v>
          </cell>
        </row>
        <row r="57">
          <cell r="A57">
            <v>43553</v>
          </cell>
          <cell r="B57">
            <v>68.540000000000006</v>
          </cell>
        </row>
        <row r="58">
          <cell r="A58">
            <v>43556</v>
          </cell>
          <cell r="B58">
            <v>68.3</v>
          </cell>
        </row>
        <row r="59">
          <cell r="A59">
            <v>43557</v>
          </cell>
          <cell r="B59">
            <v>68.37</v>
          </cell>
        </row>
        <row r="60">
          <cell r="A60">
            <v>43558</v>
          </cell>
          <cell r="B60">
            <v>67.819999999999993</v>
          </cell>
        </row>
        <row r="61">
          <cell r="A61">
            <v>43559</v>
          </cell>
          <cell r="B61">
            <v>67.55</v>
          </cell>
        </row>
        <row r="62">
          <cell r="A62">
            <v>43560</v>
          </cell>
          <cell r="B62">
            <v>67.92</v>
          </cell>
        </row>
        <row r="63">
          <cell r="A63">
            <v>43563</v>
          </cell>
          <cell r="B63">
            <v>68.02</v>
          </cell>
        </row>
        <row r="64">
          <cell r="A64">
            <v>43564</v>
          </cell>
          <cell r="B64">
            <v>68.11</v>
          </cell>
        </row>
        <row r="65">
          <cell r="A65">
            <v>43565</v>
          </cell>
          <cell r="B65">
            <v>68.11</v>
          </cell>
        </row>
        <row r="66">
          <cell r="A66">
            <v>43566</v>
          </cell>
          <cell r="B66">
            <v>68.09</v>
          </cell>
        </row>
        <row r="67">
          <cell r="A67">
            <v>43567</v>
          </cell>
          <cell r="B67">
            <v>68.77</v>
          </cell>
        </row>
        <row r="68">
          <cell r="A68">
            <v>43570</v>
          </cell>
          <cell r="B68">
            <v>68.709999999999994</v>
          </cell>
        </row>
        <row r="69">
          <cell r="A69">
            <v>43571</v>
          </cell>
          <cell r="B69">
            <v>69.040000000000006</v>
          </cell>
        </row>
        <row r="70">
          <cell r="A70">
            <v>43572</v>
          </cell>
          <cell r="B70">
            <v>68.680000000000007</v>
          </cell>
        </row>
        <row r="71">
          <cell r="A71">
            <v>43573</v>
          </cell>
          <cell r="B71">
            <v>69.349999999999994</v>
          </cell>
        </row>
        <row r="72">
          <cell r="A72">
            <v>43577</v>
          </cell>
          <cell r="B72">
            <v>69.599999999999994</v>
          </cell>
        </row>
        <row r="73">
          <cell r="A73">
            <v>43578</v>
          </cell>
          <cell r="B73">
            <v>69.010000000000005</v>
          </cell>
        </row>
        <row r="74">
          <cell r="A74">
            <v>43579</v>
          </cell>
          <cell r="B74">
            <v>68.86</v>
          </cell>
        </row>
        <row r="75">
          <cell r="A75">
            <v>43580</v>
          </cell>
          <cell r="B75">
            <v>68.69</v>
          </cell>
        </row>
        <row r="76">
          <cell r="A76">
            <v>43581</v>
          </cell>
          <cell r="B76">
            <v>71.3</v>
          </cell>
        </row>
        <row r="77">
          <cell r="A77">
            <v>43584</v>
          </cell>
          <cell r="B77">
            <v>71.38</v>
          </cell>
        </row>
        <row r="78">
          <cell r="A78">
            <v>43585</v>
          </cell>
          <cell r="B78">
            <v>72.790000000000006</v>
          </cell>
        </row>
        <row r="79">
          <cell r="A79">
            <v>43586</v>
          </cell>
          <cell r="B79">
            <v>71.290000000000006</v>
          </cell>
        </row>
        <row r="80">
          <cell r="A80">
            <v>43587</v>
          </cell>
          <cell r="B80">
            <v>71.819999999999993</v>
          </cell>
        </row>
        <row r="81">
          <cell r="A81">
            <v>43588</v>
          </cell>
          <cell r="B81">
            <v>71.95</v>
          </cell>
        </row>
        <row r="82">
          <cell r="A82">
            <v>43591</v>
          </cell>
          <cell r="B82">
            <v>71.69</v>
          </cell>
        </row>
        <row r="83">
          <cell r="A83">
            <v>43592</v>
          </cell>
          <cell r="B83">
            <v>70.510000000000005</v>
          </cell>
        </row>
        <row r="84">
          <cell r="A84">
            <v>43593</v>
          </cell>
          <cell r="B84">
            <v>70.989999999999995</v>
          </cell>
        </row>
        <row r="85">
          <cell r="A85">
            <v>43594</v>
          </cell>
          <cell r="B85">
            <v>70.849999999999994</v>
          </cell>
        </row>
        <row r="86">
          <cell r="A86">
            <v>43595</v>
          </cell>
          <cell r="B86">
            <v>71.5</v>
          </cell>
        </row>
        <row r="87">
          <cell r="A87">
            <v>43598</v>
          </cell>
          <cell r="B87">
            <v>71.56</v>
          </cell>
        </row>
        <row r="88">
          <cell r="A88">
            <v>43599</v>
          </cell>
          <cell r="B88">
            <v>71.150000000000006</v>
          </cell>
        </row>
        <row r="89">
          <cell r="A89">
            <v>43600</v>
          </cell>
          <cell r="B89">
            <v>71.34</v>
          </cell>
        </row>
        <row r="90">
          <cell r="A90">
            <v>43601</v>
          </cell>
          <cell r="B90">
            <v>72.5</v>
          </cell>
        </row>
        <row r="91">
          <cell r="A91">
            <v>43602</v>
          </cell>
          <cell r="B91">
            <v>71.97</v>
          </cell>
        </row>
        <row r="92">
          <cell r="A92">
            <v>43605</v>
          </cell>
          <cell r="B92">
            <v>71.7</v>
          </cell>
        </row>
        <row r="93">
          <cell r="A93">
            <v>43606</v>
          </cell>
          <cell r="B93">
            <v>71.53</v>
          </cell>
        </row>
        <row r="94">
          <cell r="A94">
            <v>43607</v>
          </cell>
          <cell r="B94">
            <v>71.53</v>
          </cell>
        </row>
        <row r="95">
          <cell r="A95">
            <v>43608</v>
          </cell>
          <cell r="B95">
            <v>71.75</v>
          </cell>
        </row>
        <row r="96">
          <cell r="A96">
            <v>43609</v>
          </cell>
          <cell r="B96">
            <v>71.2</v>
          </cell>
        </row>
        <row r="97">
          <cell r="A97">
            <v>43613</v>
          </cell>
          <cell r="B97">
            <v>70.11</v>
          </cell>
        </row>
        <row r="98">
          <cell r="A98">
            <v>43614</v>
          </cell>
          <cell r="B98">
            <v>69.97</v>
          </cell>
        </row>
        <row r="99">
          <cell r="A99">
            <v>43615</v>
          </cell>
          <cell r="B99">
            <v>70.849999999999994</v>
          </cell>
        </row>
        <row r="100">
          <cell r="A100">
            <v>43616</v>
          </cell>
          <cell r="B100">
            <v>69.62</v>
          </cell>
        </row>
        <row r="101">
          <cell r="A101">
            <v>43619</v>
          </cell>
          <cell r="B101">
            <v>70.69</v>
          </cell>
        </row>
        <row r="102">
          <cell r="A102">
            <v>43620</v>
          </cell>
          <cell r="B102">
            <v>70.819999999999993</v>
          </cell>
        </row>
        <row r="103">
          <cell r="A103">
            <v>43621</v>
          </cell>
          <cell r="B103">
            <v>71.92</v>
          </cell>
        </row>
        <row r="104">
          <cell r="A104">
            <v>43622</v>
          </cell>
          <cell r="B104">
            <v>73.11</v>
          </cell>
        </row>
        <row r="105">
          <cell r="A105">
            <v>43623</v>
          </cell>
          <cell r="B105">
            <v>73.989999999999995</v>
          </cell>
        </row>
        <row r="106">
          <cell r="A106">
            <v>43626</v>
          </cell>
          <cell r="B106">
            <v>73.03</v>
          </cell>
        </row>
        <row r="107">
          <cell r="A107">
            <v>43627</v>
          </cell>
          <cell r="B107">
            <v>73.33</v>
          </cell>
        </row>
        <row r="108">
          <cell r="A108">
            <v>43628</v>
          </cell>
          <cell r="B108">
            <v>73.05</v>
          </cell>
        </row>
        <row r="109">
          <cell r="A109">
            <v>43629</v>
          </cell>
          <cell r="B109">
            <v>72.75</v>
          </cell>
        </row>
        <row r="110">
          <cell r="A110">
            <v>43630</v>
          </cell>
          <cell r="B110">
            <v>73.349999999999994</v>
          </cell>
        </row>
        <row r="111">
          <cell r="A111">
            <v>43633</v>
          </cell>
          <cell r="B111">
            <v>73.41</v>
          </cell>
        </row>
        <row r="112">
          <cell r="A112">
            <v>43634</v>
          </cell>
          <cell r="B112">
            <v>72.89</v>
          </cell>
        </row>
        <row r="113">
          <cell r="A113">
            <v>43635</v>
          </cell>
          <cell r="B113">
            <v>73.53</v>
          </cell>
        </row>
        <row r="114">
          <cell r="A114">
            <v>43636</v>
          </cell>
          <cell r="B114">
            <v>73.599999999999994</v>
          </cell>
        </row>
        <row r="115">
          <cell r="A115">
            <v>43637</v>
          </cell>
          <cell r="B115">
            <v>72.95</v>
          </cell>
        </row>
        <row r="116">
          <cell r="A116">
            <v>43640</v>
          </cell>
          <cell r="B116">
            <v>73.97</v>
          </cell>
        </row>
        <row r="117">
          <cell r="A117">
            <v>43641</v>
          </cell>
          <cell r="B117">
            <v>73.91</v>
          </cell>
        </row>
        <row r="118">
          <cell r="A118">
            <v>43642</v>
          </cell>
          <cell r="B118">
            <v>72.349999999999994</v>
          </cell>
        </row>
        <row r="119">
          <cell r="A119">
            <v>43643</v>
          </cell>
          <cell r="B119">
            <v>72.14</v>
          </cell>
        </row>
        <row r="120">
          <cell r="A120">
            <v>43644</v>
          </cell>
          <cell r="B120">
            <v>71.67</v>
          </cell>
        </row>
        <row r="121">
          <cell r="A121">
            <v>43647</v>
          </cell>
          <cell r="B121">
            <v>72.08</v>
          </cell>
        </row>
        <row r="122">
          <cell r="A122">
            <v>43648</v>
          </cell>
          <cell r="B122">
            <v>72.739999999999995</v>
          </cell>
        </row>
        <row r="123">
          <cell r="A123">
            <v>43649</v>
          </cell>
          <cell r="B123">
            <v>74</v>
          </cell>
        </row>
        <row r="124">
          <cell r="A124">
            <v>43651</v>
          </cell>
          <cell r="B124">
            <v>73.14</v>
          </cell>
        </row>
        <row r="125">
          <cell r="A125">
            <v>43654</v>
          </cell>
          <cell r="B125">
            <v>73.38</v>
          </cell>
        </row>
        <row r="126">
          <cell r="A126">
            <v>43655</v>
          </cell>
          <cell r="B126">
            <v>73.11</v>
          </cell>
        </row>
        <row r="127">
          <cell r="A127">
            <v>43656</v>
          </cell>
          <cell r="B127">
            <v>73.489999999999995</v>
          </cell>
        </row>
        <row r="128">
          <cell r="A128">
            <v>43657</v>
          </cell>
          <cell r="B128">
            <v>73.89</v>
          </cell>
        </row>
        <row r="129">
          <cell r="A129">
            <v>43658</v>
          </cell>
          <cell r="B129">
            <v>74.38</v>
          </cell>
        </row>
        <row r="130">
          <cell r="A130">
            <v>43661</v>
          </cell>
          <cell r="B130">
            <v>74</v>
          </cell>
        </row>
        <row r="131">
          <cell r="A131">
            <v>43662</v>
          </cell>
          <cell r="B131">
            <v>74.5</v>
          </cell>
        </row>
        <row r="132">
          <cell r="A132">
            <v>43663</v>
          </cell>
          <cell r="B132">
            <v>73.75</v>
          </cell>
        </row>
        <row r="133">
          <cell r="A133">
            <v>43664</v>
          </cell>
          <cell r="B133">
            <v>73.88</v>
          </cell>
        </row>
        <row r="134">
          <cell r="A134">
            <v>43665</v>
          </cell>
          <cell r="B134">
            <v>72.7</v>
          </cell>
        </row>
        <row r="135">
          <cell r="A135">
            <v>43668</v>
          </cell>
          <cell r="B135">
            <v>72.349999999999994</v>
          </cell>
        </row>
        <row r="136">
          <cell r="A136">
            <v>43669</v>
          </cell>
          <cell r="B136">
            <v>72.28</v>
          </cell>
        </row>
        <row r="137">
          <cell r="A137">
            <v>43670</v>
          </cell>
          <cell r="B137">
            <v>71.28</v>
          </cell>
        </row>
        <row r="138">
          <cell r="A138">
            <v>43671</v>
          </cell>
          <cell r="B138">
            <v>71.930000000000007</v>
          </cell>
        </row>
        <row r="139">
          <cell r="A139">
            <v>43672</v>
          </cell>
          <cell r="B139">
            <v>73.69</v>
          </cell>
        </row>
        <row r="140">
          <cell r="A140">
            <v>43675</v>
          </cell>
          <cell r="B140">
            <v>75.569999999999993</v>
          </cell>
        </row>
        <row r="141">
          <cell r="A141">
            <v>43676</v>
          </cell>
          <cell r="B141">
            <v>74.739999999999995</v>
          </cell>
        </row>
        <row r="142">
          <cell r="A142">
            <v>43677</v>
          </cell>
          <cell r="B142">
            <v>71.739999999999995</v>
          </cell>
        </row>
        <row r="143">
          <cell r="A143">
            <v>43678</v>
          </cell>
          <cell r="B143">
            <v>71.260000000000005</v>
          </cell>
        </row>
        <row r="144">
          <cell r="A144">
            <v>43679</v>
          </cell>
          <cell r="B144">
            <v>71.2</v>
          </cell>
        </row>
        <row r="145">
          <cell r="A145">
            <v>43682</v>
          </cell>
          <cell r="B145">
            <v>68.8</v>
          </cell>
        </row>
        <row r="146">
          <cell r="A146">
            <v>43683</v>
          </cell>
          <cell r="B146">
            <v>69.849999999999994</v>
          </cell>
        </row>
        <row r="147">
          <cell r="A147">
            <v>43684</v>
          </cell>
          <cell r="B147">
            <v>70.44</v>
          </cell>
        </row>
        <row r="148">
          <cell r="A148">
            <v>43685</v>
          </cell>
          <cell r="B148">
            <v>71.709999999999994</v>
          </cell>
        </row>
        <row r="149">
          <cell r="A149">
            <v>43686</v>
          </cell>
          <cell r="B149">
            <v>71.52</v>
          </cell>
        </row>
        <row r="150">
          <cell r="A150">
            <v>43689</v>
          </cell>
          <cell r="B150">
            <v>70.73</v>
          </cell>
        </row>
        <row r="151">
          <cell r="A151">
            <v>43690</v>
          </cell>
          <cell r="B151">
            <v>71.69</v>
          </cell>
        </row>
        <row r="152">
          <cell r="A152">
            <v>43691</v>
          </cell>
          <cell r="B152">
            <v>70.52</v>
          </cell>
        </row>
        <row r="153">
          <cell r="A153">
            <v>43692</v>
          </cell>
          <cell r="B153">
            <v>71.37</v>
          </cell>
        </row>
        <row r="154">
          <cell r="A154">
            <v>43693</v>
          </cell>
          <cell r="B154">
            <v>72.28</v>
          </cell>
        </row>
        <row r="155">
          <cell r="A155">
            <v>43696</v>
          </cell>
          <cell r="B155">
            <v>73.08</v>
          </cell>
        </row>
        <row r="156">
          <cell r="A156">
            <v>43697</v>
          </cell>
          <cell r="B156">
            <v>72.540000000000006</v>
          </cell>
        </row>
        <row r="157">
          <cell r="A157">
            <v>43698</v>
          </cell>
          <cell r="B157">
            <v>72.61</v>
          </cell>
        </row>
        <row r="158">
          <cell r="A158">
            <v>43699</v>
          </cell>
          <cell r="B158">
            <v>73.040000000000006</v>
          </cell>
        </row>
        <row r="159">
          <cell r="A159">
            <v>43700</v>
          </cell>
          <cell r="B159">
            <v>72.23</v>
          </cell>
        </row>
        <row r="160">
          <cell r="A160">
            <v>43703</v>
          </cell>
          <cell r="B160">
            <v>72.77</v>
          </cell>
        </row>
        <row r="161">
          <cell r="A161">
            <v>43704</v>
          </cell>
          <cell r="B161">
            <v>73.44</v>
          </cell>
        </row>
        <row r="162">
          <cell r="A162">
            <v>43705</v>
          </cell>
          <cell r="B162">
            <v>74</v>
          </cell>
        </row>
        <row r="163">
          <cell r="A163">
            <v>43706</v>
          </cell>
          <cell r="B163">
            <v>74.2</v>
          </cell>
        </row>
        <row r="164">
          <cell r="A164">
            <v>43707</v>
          </cell>
          <cell r="B164">
            <v>74.150000000000006</v>
          </cell>
        </row>
        <row r="165">
          <cell r="A165">
            <v>43711</v>
          </cell>
          <cell r="B165">
            <v>74.31</v>
          </cell>
        </row>
        <row r="166">
          <cell r="A166">
            <v>43712</v>
          </cell>
          <cell r="B166">
            <v>74.87</v>
          </cell>
        </row>
        <row r="167">
          <cell r="A167">
            <v>43713</v>
          </cell>
          <cell r="B167">
            <v>74.290000000000006</v>
          </cell>
        </row>
        <row r="168">
          <cell r="A168">
            <v>43714</v>
          </cell>
          <cell r="B168">
            <v>74.7</v>
          </cell>
        </row>
        <row r="169">
          <cell r="A169">
            <v>43717</v>
          </cell>
          <cell r="B169">
            <v>73.19</v>
          </cell>
        </row>
        <row r="170">
          <cell r="A170">
            <v>43718</v>
          </cell>
          <cell r="B170">
            <v>72.12</v>
          </cell>
        </row>
        <row r="171">
          <cell r="A171">
            <v>43719</v>
          </cell>
          <cell r="B171">
            <v>72.849999999999994</v>
          </cell>
        </row>
        <row r="172">
          <cell r="A172">
            <v>43720</v>
          </cell>
          <cell r="B172">
            <v>72.290000000000006</v>
          </cell>
        </row>
        <row r="173">
          <cell r="A173">
            <v>43721</v>
          </cell>
          <cell r="B173">
            <v>70.709999999999994</v>
          </cell>
        </row>
        <row r="174">
          <cell r="A174">
            <v>43724</v>
          </cell>
          <cell r="B174">
            <v>69.430000000000007</v>
          </cell>
        </row>
        <row r="175">
          <cell r="A175">
            <v>43725</v>
          </cell>
          <cell r="B175">
            <v>69.86</v>
          </cell>
        </row>
        <row r="176">
          <cell r="A176">
            <v>43726</v>
          </cell>
          <cell r="B176">
            <v>70.75</v>
          </cell>
        </row>
        <row r="177">
          <cell r="A177">
            <v>43727</v>
          </cell>
          <cell r="B177">
            <v>70.95</v>
          </cell>
        </row>
        <row r="178">
          <cell r="A178">
            <v>43728</v>
          </cell>
          <cell r="B178">
            <v>70.95</v>
          </cell>
        </row>
        <row r="179">
          <cell r="A179">
            <v>43731</v>
          </cell>
          <cell r="B179">
            <v>71.5</v>
          </cell>
        </row>
        <row r="180">
          <cell r="A180">
            <v>43732</v>
          </cell>
          <cell r="B180">
            <v>72.489999999999995</v>
          </cell>
        </row>
        <row r="181">
          <cell r="A181">
            <v>43733</v>
          </cell>
          <cell r="B181">
            <v>72.239999999999995</v>
          </cell>
        </row>
        <row r="182">
          <cell r="A182">
            <v>43734</v>
          </cell>
          <cell r="B182">
            <v>72.72</v>
          </cell>
        </row>
        <row r="183">
          <cell r="A183">
            <v>43735</v>
          </cell>
          <cell r="B183">
            <v>73.260000000000005</v>
          </cell>
        </row>
        <row r="184">
          <cell r="A184">
            <v>43738</v>
          </cell>
          <cell r="B184">
            <v>73.510000000000005</v>
          </cell>
        </row>
        <row r="185">
          <cell r="A185">
            <v>43739</v>
          </cell>
          <cell r="B185">
            <v>71.73</v>
          </cell>
        </row>
        <row r="186">
          <cell r="A186">
            <v>43740</v>
          </cell>
          <cell r="B186">
            <v>70.52</v>
          </cell>
        </row>
        <row r="187">
          <cell r="A187">
            <v>43741</v>
          </cell>
          <cell r="B187">
            <v>70.87</v>
          </cell>
        </row>
        <row r="188">
          <cell r="A188">
            <v>43742</v>
          </cell>
          <cell r="B188">
            <v>72.069999999999993</v>
          </cell>
        </row>
        <row r="189">
          <cell r="A189">
            <v>43745</v>
          </cell>
          <cell r="B189">
            <v>71.62</v>
          </cell>
        </row>
        <row r="190">
          <cell r="A190">
            <v>43746</v>
          </cell>
          <cell r="B190">
            <v>70.680000000000007</v>
          </cell>
        </row>
        <row r="191">
          <cell r="A191">
            <v>43747</v>
          </cell>
          <cell r="B191">
            <v>70.63</v>
          </cell>
        </row>
        <row r="192">
          <cell r="A192">
            <v>43748</v>
          </cell>
          <cell r="B192">
            <v>70.77</v>
          </cell>
        </row>
        <row r="193">
          <cell r="A193">
            <v>43749</v>
          </cell>
          <cell r="B193">
            <v>70.510000000000005</v>
          </cell>
        </row>
        <row r="194">
          <cell r="A194">
            <v>43752</v>
          </cell>
          <cell r="B194">
            <v>69.41</v>
          </cell>
        </row>
        <row r="195">
          <cell r="A195">
            <v>43753</v>
          </cell>
          <cell r="B195">
            <v>68.400000000000006</v>
          </cell>
        </row>
        <row r="196">
          <cell r="A196">
            <v>43754</v>
          </cell>
          <cell r="B196">
            <v>67.849999999999994</v>
          </cell>
        </row>
        <row r="197">
          <cell r="A197">
            <v>43755</v>
          </cell>
          <cell r="B197">
            <v>68.08</v>
          </cell>
        </row>
        <row r="198">
          <cell r="A198">
            <v>43756</v>
          </cell>
          <cell r="B198">
            <v>68.03</v>
          </cell>
        </row>
        <row r="199">
          <cell r="A199">
            <v>43759</v>
          </cell>
          <cell r="B199">
            <v>68.3</v>
          </cell>
        </row>
        <row r="200">
          <cell r="A200">
            <v>43760</v>
          </cell>
          <cell r="B200">
            <v>67.06</v>
          </cell>
        </row>
        <row r="201">
          <cell r="A201">
            <v>43761</v>
          </cell>
          <cell r="B201">
            <v>67.540000000000006</v>
          </cell>
        </row>
        <row r="202">
          <cell r="A202">
            <v>43762</v>
          </cell>
          <cell r="B202">
            <v>68.34</v>
          </cell>
        </row>
        <row r="203">
          <cell r="A203">
            <v>43763</v>
          </cell>
          <cell r="B203">
            <v>68.41</v>
          </cell>
        </row>
        <row r="204">
          <cell r="A204">
            <v>43766</v>
          </cell>
          <cell r="B204">
            <v>67.349999999999994</v>
          </cell>
        </row>
        <row r="205">
          <cell r="A205">
            <v>43767</v>
          </cell>
          <cell r="B205">
            <v>67.92</v>
          </cell>
        </row>
        <row r="206">
          <cell r="A206">
            <v>43768</v>
          </cell>
          <cell r="B206">
            <v>68.58</v>
          </cell>
        </row>
        <row r="207">
          <cell r="A207">
            <v>43769</v>
          </cell>
          <cell r="B207">
            <v>68.599999999999994</v>
          </cell>
        </row>
        <row r="208">
          <cell r="A208">
            <v>43770</v>
          </cell>
          <cell r="B208">
            <v>66.81</v>
          </cell>
        </row>
        <row r="209">
          <cell r="A209">
            <v>43773</v>
          </cell>
          <cell r="B209">
            <v>65.41</v>
          </cell>
        </row>
        <row r="210">
          <cell r="A210">
            <v>43774</v>
          </cell>
          <cell r="B210">
            <v>65.959999999999994</v>
          </cell>
        </row>
        <row r="211">
          <cell r="A211">
            <v>43775</v>
          </cell>
          <cell r="B211">
            <v>66.52</v>
          </cell>
        </row>
        <row r="212">
          <cell r="A212">
            <v>43776</v>
          </cell>
          <cell r="B212">
            <v>66.87</v>
          </cell>
        </row>
        <row r="213">
          <cell r="A213">
            <v>43777</v>
          </cell>
          <cell r="B213">
            <v>66.63</v>
          </cell>
        </row>
        <row r="214">
          <cell r="A214">
            <v>43780</v>
          </cell>
          <cell r="B214">
            <v>66.540000000000006</v>
          </cell>
        </row>
        <row r="215">
          <cell r="A215">
            <v>43781</v>
          </cell>
          <cell r="B215">
            <v>66.64</v>
          </cell>
        </row>
        <row r="216">
          <cell r="A216">
            <v>43782</v>
          </cell>
          <cell r="B216">
            <v>66.88</v>
          </cell>
        </row>
        <row r="217">
          <cell r="A217">
            <v>43783</v>
          </cell>
          <cell r="B217">
            <v>66.64</v>
          </cell>
        </row>
        <row r="218">
          <cell r="A218">
            <v>43784</v>
          </cell>
          <cell r="B218">
            <v>66.37</v>
          </cell>
        </row>
        <row r="219">
          <cell r="A219">
            <v>43787</v>
          </cell>
          <cell r="B219">
            <v>67.13</v>
          </cell>
        </row>
        <row r="220">
          <cell r="A220">
            <v>43788</v>
          </cell>
          <cell r="B220">
            <v>67.16</v>
          </cell>
        </row>
        <row r="221">
          <cell r="A221">
            <v>43789</v>
          </cell>
          <cell r="B221">
            <v>67.209999999999994</v>
          </cell>
        </row>
        <row r="222">
          <cell r="A222">
            <v>43790</v>
          </cell>
          <cell r="B222">
            <v>66.75</v>
          </cell>
        </row>
        <row r="223">
          <cell r="A223">
            <v>43791</v>
          </cell>
          <cell r="B223">
            <v>66.709999999999994</v>
          </cell>
        </row>
        <row r="224">
          <cell r="A224">
            <v>43794</v>
          </cell>
          <cell r="B224">
            <v>66.98</v>
          </cell>
        </row>
        <row r="225">
          <cell r="A225">
            <v>43795</v>
          </cell>
          <cell r="B225">
            <v>67.790000000000006</v>
          </cell>
        </row>
        <row r="226">
          <cell r="A226">
            <v>43796</v>
          </cell>
          <cell r="B226">
            <v>67.680000000000007</v>
          </cell>
        </row>
        <row r="227">
          <cell r="A227">
            <v>43798</v>
          </cell>
          <cell r="B227">
            <v>67.819999999999993</v>
          </cell>
        </row>
        <row r="228">
          <cell r="A228">
            <v>43801</v>
          </cell>
          <cell r="B228">
            <v>67.569999999999993</v>
          </cell>
        </row>
        <row r="229">
          <cell r="A229">
            <v>43802</v>
          </cell>
          <cell r="B229">
            <v>67.3</v>
          </cell>
        </row>
        <row r="230">
          <cell r="A230">
            <v>43803</v>
          </cell>
          <cell r="B230">
            <v>68.08</v>
          </cell>
        </row>
        <row r="231">
          <cell r="A231">
            <v>43804</v>
          </cell>
          <cell r="B231">
            <v>67.819999999999993</v>
          </cell>
        </row>
        <row r="232">
          <cell r="A232">
            <v>43805</v>
          </cell>
          <cell r="B232">
            <v>68.239999999999995</v>
          </cell>
        </row>
        <row r="233">
          <cell r="A233">
            <v>43808</v>
          </cell>
          <cell r="B233">
            <v>68.599999999999994</v>
          </cell>
        </row>
        <row r="234">
          <cell r="A234">
            <v>43809</v>
          </cell>
          <cell r="B234">
            <v>67.930000000000007</v>
          </cell>
        </row>
        <row r="235">
          <cell r="A235">
            <v>43810</v>
          </cell>
          <cell r="B235">
            <v>67.459999999999994</v>
          </cell>
        </row>
        <row r="236">
          <cell r="A236">
            <v>43811</v>
          </cell>
          <cell r="B236">
            <v>67.23</v>
          </cell>
        </row>
        <row r="237">
          <cell r="A237">
            <v>43812</v>
          </cell>
          <cell r="B237">
            <v>68.69</v>
          </cell>
        </row>
        <row r="238">
          <cell r="A238">
            <v>43815</v>
          </cell>
          <cell r="B238">
            <v>68.87</v>
          </cell>
        </row>
        <row r="239">
          <cell r="A239">
            <v>43816</v>
          </cell>
          <cell r="B239">
            <v>67.84</v>
          </cell>
        </row>
        <row r="240">
          <cell r="A240">
            <v>43817</v>
          </cell>
          <cell r="B240">
            <v>68.27</v>
          </cell>
        </row>
        <row r="241">
          <cell r="A241">
            <v>43818</v>
          </cell>
          <cell r="B241">
            <v>68.34</v>
          </cell>
        </row>
        <row r="242">
          <cell r="A242">
            <v>43819</v>
          </cell>
          <cell r="B242">
            <v>68.849999999999994</v>
          </cell>
        </row>
        <row r="243">
          <cell r="A243">
            <v>43822</v>
          </cell>
          <cell r="B243">
            <v>68.72</v>
          </cell>
        </row>
        <row r="244">
          <cell r="A244">
            <v>43823</v>
          </cell>
          <cell r="B244">
            <v>68.55</v>
          </cell>
        </row>
        <row r="245">
          <cell r="A245">
            <v>43825</v>
          </cell>
          <cell r="B245">
            <v>68.58</v>
          </cell>
        </row>
        <row r="246">
          <cell r="A246">
            <v>43826</v>
          </cell>
          <cell r="B246">
            <v>69.180000000000007</v>
          </cell>
        </row>
        <row r="247">
          <cell r="A247">
            <v>43829</v>
          </cell>
          <cell r="B247">
            <v>68.790000000000006</v>
          </cell>
        </row>
        <row r="248">
          <cell r="A248">
            <v>43830</v>
          </cell>
          <cell r="B248">
            <v>68.84</v>
          </cell>
        </row>
        <row r="249">
          <cell r="A249">
            <v>43832</v>
          </cell>
          <cell r="B249">
            <v>68.12</v>
          </cell>
        </row>
        <row r="250">
          <cell r="A250">
            <v>43833</v>
          </cell>
          <cell r="B250">
            <v>68.02</v>
          </cell>
        </row>
        <row r="251">
          <cell r="A251">
            <v>43836</v>
          </cell>
          <cell r="B251">
            <v>68.489999999999995</v>
          </cell>
        </row>
        <row r="252">
          <cell r="A252">
            <v>43837</v>
          </cell>
          <cell r="B252">
            <v>67.55</v>
          </cell>
        </row>
        <row r="253">
          <cell r="A253">
            <v>43838</v>
          </cell>
          <cell r="B253">
            <v>69.27</v>
          </cell>
        </row>
        <row r="254">
          <cell r="A254">
            <v>43839</v>
          </cell>
          <cell r="B254">
            <v>69.86</v>
          </cell>
        </row>
        <row r="255">
          <cell r="A255">
            <v>43840</v>
          </cell>
          <cell r="B255">
            <v>70.150000000000006</v>
          </cell>
        </row>
        <row r="256">
          <cell r="A256">
            <v>43843</v>
          </cell>
          <cell r="B256">
            <v>70.14</v>
          </cell>
        </row>
        <row r="257">
          <cell r="A257">
            <v>43844</v>
          </cell>
          <cell r="B257">
            <v>70.290000000000006</v>
          </cell>
        </row>
        <row r="258">
          <cell r="A258">
            <v>43845</v>
          </cell>
          <cell r="B258">
            <v>70.8</v>
          </cell>
        </row>
        <row r="259">
          <cell r="A259">
            <v>43846</v>
          </cell>
          <cell r="B259">
            <v>70.75</v>
          </cell>
        </row>
        <row r="260">
          <cell r="A260">
            <v>43847</v>
          </cell>
          <cell r="B260">
            <v>71.180000000000007</v>
          </cell>
        </row>
        <row r="261">
          <cell r="A261">
            <v>43851</v>
          </cell>
          <cell r="B261">
            <v>71.290000000000006</v>
          </cell>
        </row>
        <row r="262">
          <cell r="A262">
            <v>43852</v>
          </cell>
          <cell r="B262">
            <v>70.53</v>
          </cell>
        </row>
        <row r="263">
          <cell r="A263">
            <v>43853</v>
          </cell>
          <cell r="B263">
            <v>70.61</v>
          </cell>
        </row>
        <row r="264">
          <cell r="A264">
            <v>43854</v>
          </cell>
          <cell r="B264">
            <v>70.3</v>
          </cell>
        </row>
        <row r="265">
          <cell r="A265">
            <v>43857</v>
          </cell>
          <cell r="B265">
            <v>70.099999999999994</v>
          </cell>
        </row>
        <row r="266">
          <cell r="A266">
            <v>43858</v>
          </cell>
          <cell r="B266">
            <v>69.709999999999994</v>
          </cell>
        </row>
        <row r="267">
          <cell r="A267">
            <v>43859</v>
          </cell>
          <cell r="B267">
            <v>68.83</v>
          </cell>
        </row>
        <row r="268">
          <cell r="A268">
            <v>43860</v>
          </cell>
          <cell r="B268">
            <v>69.47</v>
          </cell>
        </row>
        <row r="269">
          <cell r="A269">
            <v>43861</v>
          </cell>
          <cell r="B269">
            <v>73.78</v>
          </cell>
        </row>
        <row r="270">
          <cell r="A270">
            <v>43864</v>
          </cell>
          <cell r="B270">
            <v>74.930000000000007</v>
          </cell>
        </row>
        <row r="271">
          <cell r="A271">
            <v>43865</v>
          </cell>
          <cell r="B271">
            <v>75.400000000000006</v>
          </cell>
        </row>
        <row r="272">
          <cell r="A272">
            <v>43866</v>
          </cell>
          <cell r="B272">
            <v>75.73</v>
          </cell>
        </row>
        <row r="273">
          <cell r="A273">
            <v>43867</v>
          </cell>
          <cell r="B273">
            <v>76.31</v>
          </cell>
        </row>
        <row r="274">
          <cell r="A274">
            <v>43868</v>
          </cell>
          <cell r="B274">
            <v>76.03</v>
          </cell>
        </row>
        <row r="275">
          <cell r="A275">
            <v>43871</v>
          </cell>
          <cell r="B275">
            <v>77.349999999999994</v>
          </cell>
        </row>
        <row r="276">
          <cell r="A276">
            <v>43872</v>
          </cell>
          <cell r="B276">
            <v>76.11</v>
          </cell>
        </row>
        <row r="277">
          <cell r="A277">
            <v>43873</v>
          </cell>
          <cell r="B277">
            <v>75.95</v>
          </cell>
        </row>
        <row r="278">
          <cell r="A278">
            <v>43874</v>
          </cell>
          <cell r="B278">
            <v>76.37</v>
          </cell>
        </row>
        <row r="279">
          <cell r="A279">
            <v>43875</v>
          </cell>
          <cell r="B279">
            <v>76.69</v>
          </cell>
        </row>
        <row r="280">
          <cell r="A280">
            <v>43879</v>
          </cell>
          <cell r="B280">
            <v>76.069999999999993</v>
          </cell>
        </row>
        <row r="281">
          <cell r="A281">
            <v>43880</v>
          </cell>
          <cell r="B281">
            <v>75.540000000000006</v>
          </cell>
        </row>
        <row r="282">
          <cell r="A282">
            <v>43881</v>
          </cell>
          <cell r="B282">
            <v>75.16</v>
          </cell>
        </row>
        <row r="283">
          <cell r="A283">
            <v>43882</v>
          </cell>
          <cell r="B283">
            <v>76.27</v>
          </cell>
        </row>
        <row r="284">
          <cell r="A284">
            <v>43885</v>
          </cell>
          <cell r="B284">
            <v>74.42</v>
          </cell>
        </row>
        <row r="285">
          <cell r="A285">
            <v>43886</v>
          </cell>
          <cell r="B285">
            <v>73.8</v>
          </cell>
        </row>
        <row r="286">
          <cell r="A286">
            <v>43887</v>
          </cell>
          <cell r="B286">
            <v>72.92</v>
          </cell>
        </row>
        <row r="287">
          <cell r="A287">
            <v>43888</v>
          </cell>
          <cell r="B287">
            <v>70.150000000000006</v>
          </cell>
        </row>
        <row r="288">
          <cell r="A288">
            <v>43889</v>
          </cell>
          <cell r="B288">
            <v>67.569999999999993</v>
          </cell>
        </row>
        <row r="289">
          <cell r="A289">
            <v>43892</v>
          </cell>
          <cell r="B289">
            <v>72.44</v>
          </cell>
        </row>
        <row r="290">
          <cell r="A290">
            <v>43893</v>
          </cell>
          <cell r="B290">
            <v>71.78</v>
          </cell>
        </row>
        <row r="291">
          <cell r="A291">
            <v>43894</v>
          </cell>
          <cell r="B291">
            <v>75.37</v>
          </cell>
        </row>
        <row r="292">
          <cell r="A292">
            <v>43895</v>
          </cell>
          <cell r="B292">
            <v>72.34</v>
          </cell>
        </row>
        <row r="293">
          <cell r="A293">
            <v>43896</v>
          </cell>
          <cell r="B293">
            <v>72.510000000000005</v>
          </cell>
        </row>
        <row r="294">
          <cell r="A294">
            <v>43899</v>
          </cell>
          <cell r="B294">
            <v>69.989999999999995</v>
          </cell>
        </row>
        <row r="295">
          <cell r="A295">
            <v>43900</v>
          </cell>
          <cell r="B295">
            <v>71.81</v>
          </cell>
        </row>
        <row r="296">
          <cell r="A296">
            <v>43901</v>
          </cell>
          <cell r="B296">
            <v>68.900000000000006</v>
          </cell>
        </row>
        <row r="297">
          <cell r="A297">
            <v>43902</v>
          </cell>
          <cell r="B297">
            <v>63.89</v>
          </cell>
        </row>
        <row r="298">
          <cell r="A298">
            <v>43903</v>
          </cell>
          <cell r="B298">
            <v>69.099999999999994</v>
          </cell>
        </row>
        <row r="299">
          <cell r="A299">
            <v>43906</v>
          </cell>
          <cell r="B299">
            <v>62.34</v>
          </cell>
        </row>
        <row r="300">
          <cell r="A300">
            <v>43907</v>
          </cell>
          <cell r="B300">
            <v>70.2</v>
          </cell>
        </row>
        <row r="301">
          <cell r="A301">
            <v>43908</v>
          </cell>
          <cell r="B301">
            <v>67.69</v>
          </cell>
        </row>
        <row r="302">
          <cell r="A302">
            <v>43909</v>
          </cell>
          <cell r="B302">
            <v>66.650000000000006</v>
          </cell>
        </row>
        <row r="303">
          <cell r="A303">
            <v>43910</v>
          </cell>
          <cell r="B303">
            <v>62.08</v>
          </cell>
        </row>
        <row r="304">
          <cell r="A304">
            <v>43913</v>
          </cell>
          <cell r="B304">
            <v>60.47</v>
          </cell>
        </row>
        <row r="305">
          <cell r="A305">
            <v>43914</v>
          </cell>
          <cell r="B305">
            <v>61.18</v>
          </cell>
        </row>
        <row r="306">
          <cell r="A306">
            <v>43915</v>
          </cell>
          <cell r="B306">
            <v>59.89</v>
          </cell>
        </row>
        <row r="307">
          <cell r="A307">
            <v>43916</v>
          </cell>
          <cell r="B307">
            <v>63.82</v>
          </cell>
        </row>
        <row r="308">
          <cell r="A308">
            <v>43917</v>
          </cell>
          <cell r="B308">
            <v>65.260000000000005</v>
          </cell>
        </row>
        <row r="309">
          <cell r="A309">
            <v>43920</v>
          </cell>
          <cell r="B309">
            <v>66.58</v>
          </cell>
        </row>
        <row r="310">
          <cell r="A310">
            <v>43921</v>
          </cell>
          <cell r="B310">
            <v>66.36</v>
          </cell>
        </row>
        <row r="311">
          <cell r="A311">
            <v>43922</v>
          </cell>
          <cell r="B311">
            <v>65.55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 1"/>
      <sheetName val="Raw"/>
      <sheetName val="Attributions"/>
    </sheetNames>
    <sheetDataSet>
      <sheetData sheetId="0">
        <row r="37">
          <cell r="A37">
            <v>43525</v>
          </cell>
          <cell r="B37">
            <v>98.44</v>
          </cell>
        </row>
        <row r="38">
          <cell r="A38">
            <v>43528</v>
          </cell>
          <cell r="B38">
            <v>98.87</v>
          </cell>
        </row>
        <row r="39">
          <cell r="A39">
            <v>43529</v>
          </cell>
          <cell r="B39">
            <v>99.09</v>
          </cell>
        </row>
        <row r="40">
          <cell r="A40">
            <v>43530</v>
          </cell>
          <cell r="B40">
            <v>98.93</v>
          </cell>
        </row>
        <row r="41">
          <cell r="A41">
            <v>43531</v>
          </cell>
          <cell r="B41">
            <v>98.55</v>
          </cell>
        </row>
        <row r="42">
          <cell r="A42">
            <v>43532</v>
          </cell>
          <cell r="B42">
            <v>98.41</v>
          </cell>
        </row>
        <row r="43">
          <cell r="A43">
            <v>43535</v>
          </cell>
          <cell r="B43">
            <v>99.58</v>
          </cell>
        </row>
        <row r="44">
          <cell r="A44">
            <v>43536</v>
          </cell>
          <cell r="B44">
            <v>100.05</v>
          </cell>
        </row>
        <row r="45">
          <cell r="A45">
            <v>43537</v>
          </cell>
          <cell r="B45">
            <v>101.18</v>
          </cell>
        </row>
        <row r="46">
          <cell r="A46">
            <v>43538</v>
          </cell>
          <cell r="B46">
            <v>101.32</v>
          </cell>
        </row>
        <row r="47">
          <cell r="A47">
            <v>43539</v>
          </cell>
          <cell r="B47">
            <v>102.44</v>
          </cell>
        </row>
        <row r="48">
          <cell r="A48">
            <v>43542</v>
          </cell>
          <cell r="B48">
            <v>101.51</v>
          </cell>
        </row>
        <row r="49">
          <cell r="A49">
            <v>43543</v>
          </cell>
          <cell r="B49">
            <v>101.9</v>
          </cell>
        </row>
        <row r="50">
          <cell r="A50">
            <v>43544</v>
          </cell>
          <cell r="B50">
            <v>101.72</v>
          </cell>
        </row>
        <row r="51">
          <cell r="A51">
            <v>43545</v>
          </cell>
          <cell r="B51">
            <v>102.49</v>
          </cell>
        </row>
        <row r="52">
          <cell r="A52">
            <v>43546</v>
          </cell>
          <cell r="B52">
            <v>101.66</v>
          </cell>
        </row>
        <row r="53">
          <cell r="A53">
            <v>43549</v>
          </cell>
          <cell r="B53">
            <v>101.96</v>
          </cell>
        </row>
        <row r="54">
          <cell r="A54">
            <v>43550</v>
          </cell>
          <cell r="B54">
            <v>103.02</v>
          </cell>
        </row>
        <row r="55">
          <cell r="A55">
            <v>43551</v>
          </cell>
          <cell r="B55">
            <v>102.9</v>
          </cell>
        </row>
        <row r="56">
          <cell r="A56">
            <v>43552</v>
          </cell>
          <cell r="B56">
            <v>103.55</v>
          </cell>
        </row>
        <row r="57">
          <cell r="A57">
            <v>43553</v>
          </cell>
          <cell r="B57">
            <v>104.05</v>
          </cell>
        </row>
        <row r="58">
          <cell r="A58">
            <v>43556</v>
          </cell>
          <cell r="B58">
            <v>103.64</v>
          </cell>
        </row>
        <row r="59">
          <cell r="A59">
            <v>43557</v>
          </cell>
          <cell r="B59">
            <v>103.75</v>
          </cell>
        </row>
        <row r="60">
          <cell r="A60">
            <v>43558</v>
          </cell>
          <cell r="B60">
            <v>103.69</v>
          </cell>
        </row>
        <row r="61">
          <cell r="A61">
            <v>43559</v>
          </cell>
          <cell r="B61">
            <v>103.43</v>
          </cell>
        </row>
        <row r="62">
          <cell r="A62">
            <v>43560</v>
          </cell>
          <cell r="B62">
            <v>103.65</v>
          </cell>
        </row>
        <row r="63">
          <cell r="A63">
            <v>43563</v>
          </cell>
          <cell r="B63">
            <v>104.97</v>
          </cell>
        </row>
        <row r="64">
          <cell r="A64">
            <v>43564</v>
          </cell>
          <cell r="B64">
            <v>104.66</v>
          </cell>
        </row>
        <row r="68">
          <cell r="A68">
            <v>43570</v>
          </cell>
          <cell r="B68">
            <v>105.73</v>
          </cell>
        </row>
        <row r="69">
          <cell r="A69">
            <v>43571</v>
          </cell>
          <cell r="B69">
            <v>106.42</v>
          </cell>
        </row>
        <row r="70">
          <cell r="A70">
            <v>43572</v>
          </cell>
          <cell r="B70">
            <v>105.85</v>
          </cell>
        </row>
        <row r="71">
          <cell r="A71">
            <v>43573</v>
          </cell>
          <cell r="B71">
            <v>106.05</v>
          </cell>
        </row>
        <row r="72">
          <cell r="A72">
            <v>43577</v>
          </cell>
          <cell r="B72">
            <v>106.01</v>
          </cell>
        </row>
        <row r="73">
          <cell r="A73">
            <v>43578</v>
          </cell>
          <cell r="B73">
            <v>103.16</v>
          </cell>
        </row>
        <row r="74">
          <cell r="A74">
            <v>43579</v>
          </cell>
          <cell r="B74">
            <v>103.69</v>
          </cell>
        </row>
        <row r="75">
          <cell r="A75">
            <v>43580</v>
          </cell>
          <cell r="B75">
            <v>103.28</v>
          </cell>
        </row>
        <row r="76">
          <cell r="A76">
            <v>43581</v>
          </cell>
          <cell r="B76">
            <v>105.86</v>
          </cell>
        </row>
        <row r="77">
          <cell r="A77">
            <v>43584</v>
          </cell>
          <cell r="B77">
            <v>104.78</v>
          </cell>
        </row>
        <row r="78">
          <cell r="A78">
            <v>43585</v>
          </cell>
          <cell r="B78">
            <v>106.48</v>
          </cell>
        </row>
        <row r="79">
          <cell r="A79">
            <v>43586</v>
          </cell>
          <cell r="B79">
            <v>104.93</v>
          </cell>
        </row>
        <row r="80">
          <cell r="A80">
            <v>43587</v>
          </cell>
          <cell r="B80">
            <v>105.56</v>
          </cell>
        </row>
        <row r="81">
          <cell r="A81">
            <v>43588</v>
          </cell>
          <cell r="B81">
            <v>106.08</v>
          </cell>
        </row>
        <row r="82">
          <cell r="A82">
            <v>43591</v>
          </cell>
          <cell r="B82">
            <v>105.68</v>
          </cell>
        </row>
        <row r="83">
          <cell r="A83">
            <v>43592</v>
          </cell>
          <cell r="B83">
            <v>104.7</v>
          </cell>
        </row>
        <row r="84">
          <cell r="A84">
            <v>43593</v>
          </cell>
          <cell r="B84">
            <v>105.07</v>
          </cell>
        </row>
        <row r="85">
          <cell r="A85">
            <v>43594</v>
          </cell>
          <cell r="B85">
            <v>104.24</v>
          </cell>
        </row>
        <row r="86">
          <cell r="A86">
            <v>43595</v>
          </cell>
          <cell r="B86">
            <v>106.01</v>
          </cell>
        </row>
        <row r="87">
          <cell r="A87">
            <v>43598</v>
          </cell>
          <cell r="B87">
            <v>106.11</v>
          </cell>
        </row>
        <row r="88">
          <cell r="A88">
            <v>43599</v>
          </cell>
          <cell r="B88">
            <v>105.6</v>
          </cell>
        </row>
        <row r="89">
          <cell r="A89">
            <v>43600</v>
          </cell>
          <cell r="B89">
            <v>106.7</v>
          </cell>
        </row>
        <row r="90">
          <cell r="A90">
            <v>43601</v>
          </cell>
          <cell r="B90">
            <v>108.11</v>
          </cell>
        </row>
        <row r="91">
          <cell r="A91">
            <v>43602</v>
          </cell>
          <cell r="B91">
            <v>107.45</v>
          </cell>
        </row>
        <row r="92">
          <cell r="A92">
            <v>43605</v>
          </cell>
          <cell r="B92">
            <v>107.33</v>
          </cell>
        </row>
        <row r="93">
          <cell r="A93">
            <v>43606</v>
          </cell>
          <cell r="B93">
            <v>106.37</v>
          </cell>
        </row>
        <row r="94">
          <cell r="A94">
            <v>43607</v>
          </cell>
          <cell r="B94">
            <v>106.72</v>
          </cell>
        </row>
        <row r="95">
          <cell r="A95">
            <v>43608</v>
          </cell>
          <cell r="B95">
            <v>106.76</v>
          </cell>
        </row>
        <row r="96">
          <cell r="A96">
            <v>43609</v>
          </cell>
          <cell r="B96">
            <v>106.69</v>
          </cell>
        </row>
        <row r="100">
          <cell r="A100">
            <v>43616</v>
          </cell>
          <cell r="B100">
            <v>102.91</v>
          </cell>
        </row>
        <row r="101">
          <cell r="A101">
            <v>43619</v>
          </cell>
          <cell r="B101">
            <v>103.8</v>
          </cell>
        </row>
        <row r="102">
          <cell r="A102">
            <v>43620</v>
          </cell>
          <cell r="B102">
            <v>104.68</v>
          </cell>
        </row>
        <row r="103">
          <cell r="A103">
            <v>43621</v>
          </cell>
          <cell r="B103">
            <v>106.73</v>
          </cell>
        </row>
        <row r="104">
          <cell r="A104">
            <v>43622</v>
          </cell>
          <cell r="B104">
            <v>107.38</v>
          </cell>
        </row>
        <row r="105">
          <cell r="A105">
            <v>43623</v>
          </cell>
          <cell r="B105">
            <v>108.77</v>
          </cell>
        </row>
        <row r="106">
          <cell r="A106">
            <v>43626</v>
          </cell>
          <cell r="B106">
            <v>108.72</v>
          </cell>
        </row>
        <row r="107">
          <cell r="A107">
            <v>43627</v>
          </cell>
          <cell r="B107">
            <v>109.38</v>
          </cell>
        </row>
        <row r="108">
          <cell r="A108">
            <v>43628</v>
          </cell>
          <cell r="B108">
            <v>109.68</v>
          </cell>
        </row>
        <row r="109">
          <cell r="A109">
            <v>43629</v>
          </cell>
          <cell r="B109">
            <v>110.91</v>
          </cell>
        </row>
        <row r="110">
          <cell r="A110">
            <v>43630</v>
          </cell>
          <cell r="B110">
            <v>111.2</v>
          </cell>
        </row>
        <row r="111">
          <cell r="A111">
            <v>43633</v>
          </cell>
          <cell r="B111">
            <v>110.99</v>
          </cell>
        </row>
        <row r="112">
          <cell r="A112">
            <v>43634</v>
          </cell>
          <cell r="B112">
            <v>109.6</v>
          </cell>
        </row>
        <row r="113">
          <cell r="A113">
            <v>43635</v>
          </cell>
          <cell r="B113">
            <v>110.42</v>
          </cell>
        </row>
        <row r="114">
          <cell r="A114">
            <v>43636</v>
          </cell>
          <cell r="B114">
            <v>111.74</v>
          </cell>
        </row>
        <row r="115">
          <cell r="A115">
            <v>43637</v>
          </cell>
          <cell r="B115">
            <v>111.2</v>
          </cell>
        </row>
        <row r="116">
          <cell r="A116">
            <v>43640</v>
          </cell>
          <cell r="B116">
            <v>112.33</v>
          </cell>
        </row>
        <row r="117">
          <cell r="A117">
            <v>43641</v>
          </cell>
          <cell r="B117">
            <v>111.72</v>
          </cell>
        </row>
        <row r="118">
          <cell r="A118">
            <v>43642</v>
          </cell>
          <cell r="B118">
            <v>109.73</v>
          </cell>
        </row>
        <row r="119">
          <cell r="A119">
            <v>43643</v>
          </cell>
          <cell r="B119">
            <v>109.78</v>
          </cell>
        </row>
        <row r="120">
          <cell r="A120">
            <v>43644</v>
          </cell>
          <cell r="B120">
            <v>109.65</v>
          </cell>
        </row>
        <row r="121">
          <cell r="A121">
            <v>43647</v>
          </cell>
          <cell r="B121">
            <v>110.49</v>
          </cell>
        </row>
        <row r="122">
          <cell r="A122">
            <v>43648</v>
          </cell>
          <cell r="B122">
            <v>111.48</v>
          </cell>
        </row>
        <row r="123">
          <cell r="A123">
            <v>43649</v>
          </cell>
          <cell r="B123">
            <v>114.08</v>
          </cell>
        </row>
        <row r="124">
          <cell r="A124">
            <v>43651</v>
          </cell>
          <cell r="B124">
            <v>113.15</v>
          </cell>
        </row>
        <row r="125">
          <cell r="A125">
            <v>43654</v>
          </cell>
          <cell r="B125">
            <v>114.05</v>
          </cell>
        </row>
        <row r="126">
          <cell r="A126">
            <v>43655</v>
          </cell>
          <cell r="B126">
            <v>112.91</v>
          </cell>
        </row>
        <row r="127">
          <cell r="A127">
            <v>43656</v>
          </cell>
          <cell r="B127">
            <v>113.75</v>
          </cell>
        </row>
        <row r="128">
          <cell r="A128">
            <v>43657</v>
          </cell>
          <cell r="B128">
            <v>114.38</v>
          </cell>
        </row>
        <row r="132">
          <cell r="A132">
            <v>43663</v>
          </cell>
          <cell r="B132">
            <v>115.94</v>
          </cell>
        </row>
        <row r="133">
          <cell r="A133">
            <v>43664</v>
          </cell>
          <cell r="B133">
            <v>115.44</v>
          </cell>
        </row>
        <row r="134">
          <cell r="A134">
            <v>43665</v>
          </cell>
          <cell r="B134">
            <v>115.01</v>
          </cell>
        </row>
        <row r="135">
          <cell r="A135">
            <v>43668</v>
          </cell>
          <cell r="B135">
            <v>115.3</v>
          </cell>
        </row>
        <row r="136">
          <cell r="A136">
            <v>43669</v>
          </cell>
          <cell r="B136">
            <v>113.85</v>
          </cell>
        </row>
        <row r="137">
          <cell r="A137">
            <v>43670</v>
          </cell>
          <cell r="B137">
            <v>112.6</v>
          </cell>
        </row>
        <row r="138">
          <cell r="A138">
            <v>43671</v>
          </cell>
          <cell r="B138">
            <v>112.77</v>
          </cell>
        </row>
        <row r="139">
          <cell r="A139">
            <v>43672</v>
          </cell>
          <cell r="B139">
            <v>114.73</v>
          </cell>
        </row>
        <row r="140">
          <cell r="A140">
            <v>43675</v>
          </cell>
          <cell r="B140">
            <v>116</v>
          </cell>
        </row>
        <row r="141">
          <cell r="A141">
            <v>43676</v>
          </cell>
          <cell r="B141">
            <v>120.41</v>
          </cell>
        </row>
        <row r="142">
          <cell r="A142">
            <v>43677</v>
          </cell>
          <cell r="B142">
            <v>118.04</v>
          </cell>
        </row>
        <row r="143">
          <cell r="A143">
            <v>43678</v>
          </cell>
          <cell r="B143">
            <v>116.73</v>
          </cell>
        </row>
        <row r="144">
          <cell r="A144">
            <v>43679</v>
          </cell>
          <cell r="B144">
            <v>116.44</v>
          </cell>
        </row>
        <row r="145">
          <cell r="A145">
            <v>43682</v>
          </cell>
          <cell r="B145">
            <v>113.08</v>
          </cell>
        </row>
        <row r="146">
          <cell r="A146">
            <v>43683</v>
          </cell>
          <cell r="B146">
            <v>114.28</v>
          </cell>
        </row>
        <row r="147">
          <cell r="A147">
            <v>43684</v>
          </cell>
          <cell r="B147">
            <v>115.52</v>
          </cell>
        </row>
        <row r="148">
          <cell r="A148">
            <v>43685</v>
          </cell>
          <cell r="B148">
            <v>117.44</v>
          </cell>
        </row>
        <row r="149">
          <cell r="A149">
            <v>43686</v>
          </cell>
          <cell r="B149">
            <v>116.78</v>
          </cell>
        </row>
        <row r="150">
          <cell r="A150">
            <v>43689</v>
          </cell>
          <cell r="B150">
            <v>116.03</v>
          </cell>
        </row>
        <row r="151">
          <cell r="A151">
            <v>43690</v>
          </cell>
          <cell r="B151">
            <v>117.25</v>
          </cell>
        </row>
        <row r="152">
          <cell r="A152">
            <v>43691</v>
          </cell>
          <cell r="B152">
            <v>115.79</v>
          </cell>
        </row>
        <row r="153">
          <cell r="A153">
            <v>43692</v>
          </cell>
          <cell r="B153">
            <v>117.39</v>
          </cell>
        </row>
        <row r="154">
          <cell r="A154">
            <v>43693</v>
          </cell>
          <cell r="B154">
            <v>119.18</v>
          </cell>
        </row>
        <row r="155">
          <cell r="A155">
            <v>43696</v>
          </cell>
          <cell r="B155">
            <v>120.24</v>
          </cell>
        </row>
        <row r="156">
          <cell r="A156">
            <v>43697</v>
          </cell>
          <cell r="B156">
            <v>118.9</v>
          </cell>
        </row>
        <row r="157">
          <cell r="A157">
            <v>43698</v>
          </cell>
          <cell r="B157">
            <v>119.2</v>
          </cell>
        </row>
        <row r="158">
          <cell r="A158">
            <v>43699</v>
          </cell>
          <cell r="B158">
            <v>119.42</v>
          </cell>
        </row>
        <row r="159">
          <cell r="A159">
            <v>43700</v>
          </cell>
          <cell r="B159">
            <v>117.32</v>
          </cell>
        </row>
        <row r="160">
          <cell r="A160">
            <v>43703</v>
          </cell>
          <cell r="B160">
            <v>119.32</v>
          </cell>
        </row>
        <row r="164">
          <cell r="A164">
            <v>43707</v>
          </cell>
          <cell r="B164">
            <v>120.23</v>
          </cell>
        </row>
        <row r="165">
          <cell r="A165">
            <v>43711</v>
          </cell>
          <cell r="B165">
            <v>121.36</v>
          </cell>
        </row>
        <row r="166">
          <cell r="A166">
            <v>43712</v>
          </cell>
          <cell r="B166">
            <v>123.21</v>
          </cell>
        </row>
        <row r="167">
          <cell r="A167">
            <v>43713</v>
          </cell>
          <cell r="B167">
            <v>122.76</v>
          </cell>
        </row>
        <row r="168">
          <cell r="A168">
            <v>43714</v>
          </cell>
          <cell r="B168">
            <v>122.87</v>
          </cell>
        </row>
        <row r="169">
          <cell r="A169">
            <v>43717</v>
          </cell>
          <cell r="B169">
            <v>122.17</v>
          </cell>
        </row>
        <row r="170">
          <cell r="A170">
            <v>43718</v>
          </cell>
          <cell r="B170">
            <v>119.88</v>
          </cell>
        </row>
        <row r="171">
          <cell r="A171">
            <v>43719</v>
          </cell>
          <cell r="B171">
            <v>121.27</v>
          </cell>
        </row>
        <row r="172">
          <cell r="A172">
            <v>43720</v>
          </cell>
          <cell r="B172">
            <v>122.77</v>
          </cell>
        </row>
        <row r="173">
          <cell r="A173">
            <v>43721</v>
          </cell>
          <cell r="B173">
            <v>122.12</v>
          </cell>
        </row>
        <row r="174">
          <cell r="A174">
            <v>43724</v>
          </cell>
          <cell r="B174">
            <v>119.75</v>
          </cell>
        </row>
        <row r="175">
          <cell r="A175">
            <v>43725</v>
          </cell>
          <cell r="B175">
            <v>121.16</v>
          </cell>
        </row>
        <row r="176">
          <cell r="A176">
            <v>43726</v>
          </cell>
          <cell r="B176">
            <v>121.41</v>
          </cell>
        </row>
        <row r="177">
          <cell r="A177">
            <v>43727</v>
          </cell>
          <cell r="B177">
            <v>121.9</v>
          </cell>
        </row>
        <row r="178">
          <cell r="A178">
            <v>43728</v>
          </cell>
          <cell r="B178">
            <v>122.24</v>
          </cell>
        </row>
        <row r="179">
          <cell r="A179">
            <v>43731</v>
          </cell>
          <cell r="B179">
            <v>123.22</v>
          </cell>
        </row>
        <row r="180">
          <cell r="A180">
            <v>43732</v>
          </cell>
          <cell r="B180">
            <v>123.61</v>
          </cell>
        </row>
        <row r="181">
          <cell r="A181">
            <v>43733</v>
          </cell>
          <cell r="B181">
            <v>123.02</v>
          </cell>
        </row>
        <row r="182">
          <cell r="A182">
            <v>43734</v>
          </cell>
          <cell r="B182">
            <v>124.31</v>
          </cell>
        </row>
        <row r="183">
          <cell r="A183">
            <v>43735</v>
          </cell>
          <cell r="B183">
            <v>124.57</v>
          </cell>
        </row>
        <row r="184">
          <cell r="A184">
            <v>43738</v>
          </cell>
          <cell r="B184">
            <v>124.38</v>
          </cell>
        </row>
        <row r="185">
          <cell r="A185">
            <v>43739</v>
          </cell>
          <cell r="B185">
            <v>123.85</v>
          </cell>
        </row>
        <row r="186">
          <cell r="A186">
            <v>43740</v>
          </cell>
          <cell r="B186">
            <v>121.08</v>
          </cell>
        </row>
        <row r="187">
          <cell r="A187">
            <v>43741</v>
          </cell>
          <cell r="B187">
            <v>121.74</v>
          </cell>
        </row>
        <row r="188">
          <cell r="A188">
            <v>43742</v>
          </cell>
          <cell r="B188">
            <v>124</v>
          </cell>
        </row>
        <row r="189">
          <cell r="A189">
            <v>43745</v>
          </cell>
          <cell r="B189">
            <v>122.84</v>
          </cell>
        </row>
        <row r="190">
          <cell r="A190">
            <v>43746</v>
          </cell>
          <cell r="B190">
            <v>120.93</v>
          </cell>
        </row>
        <row r="191">
          <cell r="A191">
            <v>43747</v>
          </cell>
          <cell r="B191">
            <v>121.98</v>
          </cell>
        </row>
        <row r="192">
          <cell r="A192">
            <v>43748</v>
          </cell>
          <cell r="B192">
            <v>121.94</v>
          </cell>
        </row>
        <row r="196">
          <cell r="A196">
            <v>43754</v>
          </cell>
          <cell r="B196">
            <v>117.53</v>
          </cell>
        </row>
        <row r="197">
          <cell r="A197">
            <v>43755</v>
          </cell>
          <cell r="B197">
            <v>116.63</v>
          </cell>
        </row>
        <row r="198">
          <cell r="A198">
            <v>43756</v>
          </cell>
          <cell r="B198">
            <v>117.47</v>
          </cell>
        </row>
        <row r="199">
          <cell r="A199">
            <v>43759</v>
          </cell>
          <cell r="B199">
            <v>119.08</v>
          </cell>
        </row>
        <row r="200">
          <cell r="A200">
            <v>43760</v>
          </cell>
          <cell r="B200">
            <v>122.18</v>
          </cell>
        </row>
        <row r="201">
          <cell r="A201">
            <v>43761</v>
          </cell>
          <cell r="B201">
            <v>123</v>
          </cell>
        </row>
        <row r="202">
          <cell r="A202">
            <v>43762</v>
          </cell>
          <cell r="B202">
            <v>124.79</v>
          </cell>
        </row>
        <row r="203">
          <cell r="A203">
            <v>43763</v>
          </cell>
          <cell r="B203">
            <v>123.25</v>
          </cell>
        </row>
        <row r="204">
          <cell r="A204">
            <v>43766</v>
          </cell>
          <cell r="B204">
            <v>123.48</v>
          </cell>
        </row>
        <row r="205">
          <cell r="A205">
            <v>43767</v>
          </cell>
          <cell r="B205">
            <v>123.6</v>
          </cell>
        </row>
        <row r="206">
          <cell r="A206">
            <v>43768</v>
          </cell>
          <cell r="B206">
            <v>124.94</v>
          </cell>
        </row>
        <row r="207">
          <cell r="A207">
            <v>43769</v>
          </cell>
          <cell r="B207">
            <v>124.51</v>
          </cell>
        </row>
        <row r="208">
          <cell r="A208">
            <v>43770</v>
          </cell>
          <cell r="B208">
            <v>123.87</v>
          </cell>
        </row>
        <row r="209">
          <cell r="A209">
            <v>43773</v>
          </cell>
          <cell r="B209">
            <v>119.07</v>
          </cell>
        </row>
        <row r="210">
          <cell r="A210">
            <v>43774</v>
          </cell>
          <cell r="B210">
            <v>118.9</v>
          </cell>
        </row>
        <row r="211">
          <cell r="A211">
            <v>43775</v>
          </cell>
          <cell r="B211">
            <v>120.32</v>
          </cell>
        </row>
        <row r="212">
          <cell r="A212">
            <v>43776</v>
          </cell>
          <cell r="B212">
            <v>119.62</v>
          </cell>
        </row>
        <row r="213">
          <cell r="A213">
            <v>43777</v>
          </cell>
          <cell r="B213">
            <v>119.7</v>
          </cell>
        </row>
        <row r="214">
          <cell r="A214">
            <v>43780</v>
          </cell>
          <cell r="B214">
            <v>119.33</v>
          </cell>
        </row>
        <row r="215">
          <cell r="A215">
            <v>43781</v>
          </cell>
          <cell r="B215">
            <v>119.27</v>
          </cell>
        </row>
        <row r="216">
          <cell r="A216">
            <v>43782</v>
          </cell>
          <cell r="B216">
            <v>120.65</v>
          </cell>
        </row>
        <row r="217">
          <cell r="A217">
            <v>43783</v>
          </cell>
          <cell r="B217">
            <v>120.5</v>
          </cell>
        </row>
        <row r="218">
          <cell r="A218">
            <v>43784</v>
          </cell>
          <cell r="B218">
            <v>120.54</v>
          </cell>
        </row>
        <row r="219">
          <cell r="A219">
            <v>43787</v>
          </cell>
          <cell r="B219">
            <v>121.89</v>
          </cell>
        </row>
        <row r="220">
          <cell r="A220">
            <v>43788</v>
          </cell>
          <cell r="B220">
            <v>121.42</v>
          </cell>
        </row>
        <row r="221">
          <cell r="A221">
            <v>43789</v>
          </cell>
          <cell r="B221">
            <v>122.29</v>
          </cell>
        </row>
        <row r="222">
          <cell r="A222">
            <v>43790</v>
          </cell>
          <cell r="B222">
            <v>120.34</v>
          </cell>
        </row>
        <row r="223">
          <cell r="A223">
            <v>43791</v>
          </cell>
          <cell r="B223">
            <v>120.29</v>
          </cell>
        </row>
        <row r="224">
          <cell r="A224">
            <v>43794</v>
          </cell>
          <cell r="B224">
            <v>120.51</v>
          </cell>
        </row>
        <row r="228">
          <cell r="A228">
            <v>43801</v>
          </cell>
          <cell r="B228">
            <v>122.72</v>
          </cell>
        </row>
        <row r="229">
          <cell r="A229">
            <v>43802</v>
          </cell>
          <cell r="B229">
            <v>122.95</v>
          </cell>
        </row>
        <row r="230">
          <cell r="A230">
            <v>43803</v>
          </cell>
          <cell r="B230">
            <v>124.53</v>
          </cell>
        </row>
        <row r="231">
          <cell r="A231">
            <v>43804</v>
          </cell>
          <cell r="B231">
            <v>124.62</v>
          </cell>
        </row>
        <row r="232">
          <cell r="A232">
            <v>43805</v>
          </cell>
          <cell r="B232">
            <v>124.19</v>
          </cell>
        </row>
        <row r="233">
          <cell r="A233">
            <v>43808</v>
          </cell>
          <cell r="B233">
            <v>124.87</v>
          </cell>
        </row>
        <row r="234">
          <cell r="A234">
            <v>43809</v>
          </cell>
          <cell r="B234">
            <v>124.27</v>
          </cell>
        </row>
        <row r="235">
          <cell r="A235">
            <v>43810</v>
          </cell>
          <cell r="B235">
            <v>124.66</v>
          </cell>
        </row>
        <row r="236">
          <cell r="A236">
            <v>43811</v>
          </cell>
          <cell r="B236">
            <v>124.57</v>
          </cell>
        </row>
        <row r="237">
          <cell r="A237">
            <v>43812</v>
          </cell>
          <cell r="B237">
            <v>125.47</v>
          </cell>
        </row>
        <row r="238">
          <cell r="A238">
            <v>43815</v>
          </cell>
          <cell r="B238">
            <v>125.56</v>
          </cell>
        </row>
        <row r="239">
          <cell r="A239">
            <v>43816</v>
          </cell>
          <cell r="B239">
            <v>125.31</v>
          </cell>
        </row>
        <row r="240">
          <cell r="A240">
            <v>43817</v>
          </cell>
          <cell r="B240">
            <v>124.01</v>
          </cell>
        </row>
        <row r="241">
          <cell r="A241">
            <v>43818</v>
          </cell>
          <cell r="B241">
            <v>124.92</v>
          </cell>
        </row>
        <row r="242">
          <cell r="A242">
            <v>43819</v>
          </cell>
          <cell r="B242">
            <v>125.36</v>
          </cell>
        </row>
        <row r="243">
          <cell r="A243">
            <v>43822</v>
          </cell>
          <cell r="B243">
            <v>124.9</v>
          </cell>
        </row>
        <row r="244">
          <cell r="A244">
            <v>43823</v>
          </cell>
          <cell r="B244">
            <v>125.22</v>
          </cell>
        </row>
        <row r="245">
          <cell r="A245">
            <v>43825</v>
          </cell>
          <cell r="B245">
            <v>125.22</v>
          </cell>
        </row>
        <row r="246">
          <cell r="A246">
            <v>43826</v>
          </cell>
          <cell r="B246">
            <v>126.09</v>
          </cell>
        </row>
        <row r="247">
          <cell r="A247">
            <v>43829</v>
          </cell>
          <cell r="B247">
            <v>124.47</v>
          </cell>
        </row>
        <row r="248">
          <cell r="A248">
            <v>43830</v>
          </cell>
          <cell r="B248">
            <v>124.9</v>
          </cell>
        </row>
        <row r="249">
          <cell r="A249">
            <v>43832</v>
          </cell>
          <cell r="B249">
            <v>123.41</v>
          </cell>
        </row>
        <row r="250">
          <cell r="A250">
            <v>43833</v>
          </cell>
          <cell r="B250">
            <v>122.58</v>
          </cell>
        </row>
        <row r="251">
          <cell r="A251">
            <v>43836</v>
          </cell>
          <cell r="B251">
            <v>122.75</v>
          </cell>
        </row>
        <row r="252">
          <cell r="A252">
            <v>43837</v>
          </cell>
          <cell r="B252">
            <v>121.99</v>
          </cell>
        </row>
        <row r="253">
          <cell r="A253">
            <v>43838</v>
          </cell>
          <cell r="B253">
            <v>122.51</v>
          </cell>
        </row>
        <row r="254">
          <cell r="A254">
            <v>43839</v>
          </cell>
          <cell r="B254">
            <v>123.85</v>
          </cell>
        </row>
        <row r="255">
          <cell r="A255">
            <v>43840</v>
          </cell>
          <cell r="B255">
            <v>123.97</v>
          </cell>
        </row>
        <row r="256">
          <cell r="A256">
            <v>43843</v>
          </cell>
          <cell r="B256">
            <v>124.88</v>
          </cell>
        </row>
        <row r="260">
          <cell r="A260">
            <v>43847</v>
          </cell>
          <cell r="B260">
            <v>126.41</v>
          </cell>
        </row>
        <row r="261">
          <cell r="A261">
            <v>43851</v>
          </cell>
          <cell r="B261">
            <v>126.09</v>
          </cell>
        </row>
        <row r="262">
          <cell r="A262">
            <v>43852</v>
          </cell>
          <cell r="B262">
            <v>126.31</v>
          </cell>
        </row>
        <row r="263">
          <cell r="A263">
            <v>43853</v>
          </cell>
          <cell r="B263">
            <v>124.99</v>
          </cell>
        </row>
        <row r="264">
          <cell r="A264">
            <v>43854</v>
          </cell>
          <cell r="B264">
            <v>125.14</v>
          </cell>
        </row>
        <row r="265">
          <cell r="A265">
            <v>43857</v>
          </cell>
          <cell r="B265">
            <v>125.69</v>
          </cell>
        </row>
        <row r="266">
          <cell r="A266">
            <v>43858</v>
          </cell>
          <cell r="B266">
            <v>126.03</v>
          </cell>
        </row>
        <row r="267">
          <cell r="A267">
            <v>43859</v>
          </cell>
          <cell r="B267">
            <v>125.06</v>
          </cell>
        </row>
        <row r="268">
          <cell r="A268">
            <v>43860</v>
          </cell>
          <cell r="B268">
            <v>125.95</v>
          </cell>
        </row>
        <row r="269">
          <cell r="A269">
            <v>43861</v>
          </cell>
          <cell r="B269">
            <v>124.62</v>
          </cell>
        </row>
        <row r="270">
          <cell r="A270">
            <v>43864</v>
          </cell>
          <cell r="B270">
            <v>125.11</v>
          </cell>
        </row>
        <row r="271">
          <cell r="A271">
            <v>43865</v>
          </cell>
          <cell r="B271">
            <v>125.66</v>
          </cell>
        </row>
        <row r="272">
          <cell r="A272">
            <v>43866</v>
          </cell>
          <cell r="B272">
            <v>126.81</v>
          </cell>
        </row>
        <row r="273">
          <cell r="A273">
            <v>43867</v>
          </cell>
          <cell r="B273">
            <v>127.14</v>
          </cell>
        </row>
        <row r="274">
          <cell r="A274">
            <v>43868</v>
          </cell>
          <cell r="B274">
            <v>126.08</v>
          </cell>
        </row>
        <row r="275">
          <cell r="A275">
            <v>43871</v>
          </cell>
          <cell r="B275">
            <v>126.17</v>
          </cell>
        </row>
        <row r="276">
          <cell r="A276">
            <v>43872</v>
          </cell>
          <cell r="B276">
            <v>124.16</v>
          </cell>
        </row>
        <row r="277">
          <cell r="A277">
            <v>43873</v>
          </cell>
          <cell r="B277">
            <v>123.45</v>
          </cell>
        </row>
        <row r="278">
          <cell r="A278">
            <v>43874</v>
          </cell>
          <cell r="B278">
            <v>124.96</v>
          </cell>
        </row>
        <row r="279">
          <cell r="A279">
            <v>43875</v>
          </cell>
          <cell r="B279">
            <v>126.14</v>
          </cell>
        </row>
        <row r="280">
          <cell r="A280">
            <v>43879</v>
          </cell>
          <cell r="B280">
            <v>124.87</v>
          </cell>
        </row>
        <row r="281">
          <cell r="A281">
            <v>43880</v>
          </cell>
          <cell r="B281">
            <v>125.44</v>
          </cell>
        </row>
        <row r="282">
          <cell r="A282">
            <v>43881</v>
          </cell>
          <cell r="B282">
            <v>126.58</v>
          </cell>
        </row>
        <row r="283">
          <cell r="A283">
            <v>43882</v>
          </cell>
          <cell r="B283">
            <v>126.7</v>
          </cell>
        </row>
        <row r="284">
          <cell r="A284">
            <v>43885</v>
          </cell>
          <cell r="B284">
            <v>123.3</v>
          </cell>
        </row>
        <row r="285">
          <cell r="A285">
            <v>43886</v>
          </cell>
          <cell r="B285">
            <v>121.43</v>
          </cell>
        </row>
        <row r="286">
          <cell r="A286">
            <v>43887</v>
          </cell>
          <cell r="B286">
            <v>120.16</v>
          </cell>
        </row>
        <row r="287">
          <cell r="A287">
            <v>43888</v>
          </cell>
          <cell r="B287">
            <v>113.5</v>
          </cell>
        </row>
        <row r="288">
          <cell r="A288">
            <v>43889</v>
          </cell>
          <cell r="B288">
            <v>113.23</v>
          </cell>
        </row>
        <row r="292">
          <cell r="A292">
            <v>43895</v>
          </cell>
          <cell r="B292">
            <v>121.63</v>
          </cell>
        </row>
        <row r="293">
          <cell r="A293">
            <v>43896</v>
          </cell>
          <cell r="B293">
            <v>121.66</v>
          </cell>
        </row>
        <row r="294">
          <cell r="A294">
            <v>43899</v>
          </cell>
          <cell r="B294">
            <v>116.06</v>
          </cell>
        </row>
        <row r="295">
          <cell r="A295">
            <v>43900</v>
          </cell>
          <cell r="B295">
            <v>120.55</v>
          </cell>
        </row>
        <row r="296">
          <cell r="A296">
            <v>43901</v>
          </cell>
          <cell r="B296">
            <v>111.59</v>
          </cell>
        </row>
        <row r="297">
          <cell r="A297">
            <v>43902</v>
          </cell>
          <cell r="B297">
            <v>101.84</v>
          </cell>
        </row>
        <row r="298">
          <cell r="A298">
            <v>43903</v>
          </cell>
          <cell r="B298">
            <v>114.07</v>
          </cell>
        </row>
        <row r="299">
          <cell r="A299">
            <v>43906</v>
          </cell>
          <cell r="B299">
            <v>108.5</v>
          </cell>
        </row>
        <row r="300">
          <cell r="A300">
            <v>43907</v>
          </cell>
          <cell r="B300">
            <v>118.24</v>
          </cell>
        </row>
        <row r="301">
          <cell r="A301">
            <v>43908</v>
          </cell>
          <cell r="B301">
            <v>117.45</v>
          </cell>
        </row>
        <row r="302">
          <cell r="A302">
            <v>43909</v>
          </cell>
          <cell r="B302">
            <v>110.83</v>
          </cell>
        </row>
        <row r="303">
          <cell r="A303">
            <v>43910</v>
          </cell>
          <cell r="B303">
            <v>102.43</v>
          </cell>
        </row>
        <row r="304">
          <cell r="A304">
            <v>43913</v>
          </cell>
          <cell r="B304">
            <v>97.7</v>
          </cell>
        </row>
        <row r="305">
          <cell r="A305">
            <v>43914</v>
          </cell>
          <cell r="B305">
            <v>103.27</v>
          </cell>
        </row>
        <row r="306">
          <cell r="A306">
            <v>43915</v>
          </cell>
          <cell r="B306">
            <v>100.92</v>
          </cell>
        </row>
        <row r="307">
          <cell r="A307">
            <v>43916</v>
          </cell>
          <cell r="B307">
            <v>107.38</v>
          </cell>
        </row>
        <row r="308">
          <cell r="A308">
            <v>43917</v>
          </cell>
          <cell r="B308">
            <v>110.17</v>
          </cell>
        </row>
        <row r="309">
          <cell r="A309">
            <v>43920</v>
          </cell>
          <cell r="B309">
            <v>115</v>
          </cell>
        </row>
        <row r="310">
          <cell r="A310">
            <v>43921</v>
          </cell>
          <cell r="B310">
            <v>110</v>
          </cell>
        </row>
        <row r="311">
          <cell r="A311">
            <v>43922</v>
          </cell>
          <cell r="B311">
            <v>109.33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 1"/>
      <sheetName val="Raw"/>
      <sheetName val="Attributions"/>
    </sheetNames>
    <sheetDataSet>
      <sheetData sheetId="0">
        <row r="37">
          <cell r="A37">
            <v>43525</v>
          </cell>
          <cell r="B37">
            <v>2803.6943543530765</v>
          </cell>
        </row>
        <row r="38">
          <cell r="A38">
            <v>43528</v>
          </cell>
          <cell r="B38">
            <v>2792.8109017188544</v>
          </cell>
        </row>
        <row r="39">
          <cell r="A39">
            <v>43529</v>
          </cell>
          <cell r="B39">
            <v>2789.6509801528641</v>
          </cell>
        </row>
        <row r="40">
          <cell r="A40">
            <v>43530</v>
          </cell>
          <cell r="B40">
            <v>2771.4476422090356</v>
          </cell>
        </row>
        <row r="41">
          <cell r="A41">
            <v>43531</v>
          </cell>
          <cell r="B41">
            <v>2748.9257803355367</v>
          </cell>
        </row>
        <row r="42">
          <cell r="A42">
            <v>43532</v>
          </cell>
          <cell r="B42">
            <v>2743.0676692161346</v>
          </cell>
        </row>
        <row r="43">
          <cell r="A43">
            <v>43535</v>
          </cell>
          <cell r="B43">
            <v>2783.2950066621156</v>
          </cell>
        </row>
        <row r="44">
          <cell r="A44">
            <v>43536</v>
          </cell>
          <cell r="B44">
            <v>2791.5222805753579</v>
          </cell>
        </row>
        <row r="45">
          <cell r="A45">
            <v>43537</v>
          </cell>
          <cell r="B45">
            <v>2810.9175122646666</v>
          </cell>
        </row>
        <row r="46">
          <cell r="A46">
            <v>43538</v>
          </cell>
          <cell r="B46">
            <v>2808.4827876644808</v>
          </cell>
        </row>
        <row r="47">
          <cell r="A47">
            <v>43539</v>
          </cell>
          <cell r="B47">
            <v>2822.4766492394797</v>
          </cell>
        </row>
        <row r="48">
          <cell r="A48">
            <v>43542</v>
          </cell>
          <cell r="B48">
            <v>2832.9405791163622</v>
          </cell>
        </row>
        <row r="49">
          <cell r="A49">
            <v>43543</v>
          </cell>
          <cell r="B49">
            <v>2832.5673856183626</v>
          </cell>
        </row>
        <row r="50">
          <cell r="A50">
            <v>43544</v>
          </cell>
          <cell r="B50">
            <v>2824.2258141318821</v>
          </cell>
        </row>
        <row r="51">
          <cell r="A51">
            <v>43545</v>
          </cell>
          <cell r="B51">
            <v>2854.8766697000342</v>
          </cell>
        </row>
        <row r="52">
          <cell r="A52">
            <v>43546</v>
          </cell>
          <cell r="B52">
            <v>2800.7124470588578</v>
          </cell>
        </row>
        <row r="53">
          <cell r="A53">
            <v>43549</v>
          </cell>
          <cell r="B53">
            <v>2798.3616451060097</v>
          </cell>
        </row>
        <row r="54">
          <cell r="A54">
            <v>43550</v>
          </cell>
          <cell r="B54">
            <v>2818.4578854696329</v>
          </cell>
        </row>
        <row r="55">
          <cell r="A55">
            <v>43551</v>
          </cell>
          <cell r="B55">
            <v>2805.373156624692</v>
          </cell>
        </row>
        <row r="56">
          <cell r="A56">
            <v>43552</v>
          </cell>
          <cell r="B56">
            <v>2815.437294914158</v>
          </cell>
        </row>
        <row r="57">
          <cell r="A57">
            <v>43553</v>
          </cell>
          <cell r="B57">
            <v>2834.3998195751506</v>
          </cell>
        </row>
        <row r="58">
          <cell r="A58">
            <v>43556</v>
          </cell>
          <cell r="B58">
            <v>2867.1938893137999</v>
          </cell>
        </row>
        <row r="59">
          <cell r="A59">
            <v>43557</v>
          </cell>
          <cell r="B59">
            <v>2867.2364436299208</v>
          </cell>
        </row>
        <row r="60">
          <cell r="A60">
            <v>43558</v>
          </cell>
          <cell r="B60">
            <v>2873.3991482144502</v>
          </cell>
        </row>
        <row r="61">
          <cell r="A61">
            <v>43559</v>
          </cell>
          <cell r="B61">
            <v>2879.3907805172871</v>
          </cell>
        </row>
        <row r="62">
          <cell r="A62">
            <v>43560</v>
          </cell>
          <cell r="B62">
            <v>2892.7443971570365</v>
          </cell>
        </row>
        <row r="63">
          <cell r="A63">
            <v>43563</v>
          </cell>
          <cell r="B63">
            <v>2895.7705932558702</v>
          </cell>
        </row>
        <row r="64">
          <cell r="A64">
            <v>43564</v>
          </cell>
          <cell r="B64">
            <v>2878.2006311820792</v>
          </cell>
        </row>
        <row r="65">
          <cell r="A65">
            <v>43565</v>
          </cell>
          <cell r="B65">
            <v>2888.2104169608015</v>
          </cell>
        </row>
        <row r="66">
          <cell r="A66">
            <v>43566</v>
          </cell>
          <cell r="B66">
            <v>2888.3194535660746</v>
          </cell>
        </row>
        <row r="67">
          <cell r="A67">
            <v>43567</v>
          </cell>
          <cell r="B67">
            <v>2907.4143830768035</v>
          </cell>
        </row>
        <row r="68">
          <cell r="A68">
            <v>43570</v>
          </cell>
          <cell r="B68">
            <v>2905.5832738591421</v>
          </cell>
        </row>
        <row r="69">
          <cell r="A69">
            <v>43571</v>
          </cell>
          <cell r="B69">
            <v>2907.0575482500794</v>
          </cell>
        </row>
        <row r="70">
          <cell r="A70">
            <v>43572</v>
          </cell>
          <cell r="B70">
            <v>2900.4531359849407</v>
          </cell>
        </row>
        <row r="71">
          <cell r="A71">
            <v>43573</v>
          </cell>
          <cell r="B71">
            <v>2905.0325202007193</v>
          </cell>
        </row>
        <row r="72">
          <cell r="A72">
            <v>43577</v>
          </cell>
          <cell r="B72">
            <v>2907.9726774288615</v>
          </cell>
        </row>
        <row r="73">
          <cell r="A73">
            <v>43578</v>
          </cell>
          <cell r="B73">
            <v>2933.675818466224</v>
          </cell>
        </row>
        <row r="74">
          <cell r="A74">
            <v>43579</v>
          </cell>
          <cell r="B74">
            <v>2927.252365084114</v>
          </cell>
        </row>
        <row r="75">
          <cell r="A75">
            <v>43580</v>
          </cell>
          <cell r="B75">
            <v>2926.1730754066452</v>
          </cell>
        </row>
        <row r="76">
          <cell r="A76">
            <v>43581</v>
          </cell>
          <cell r="B76">
            <v>2939.8816692537521</v>
          </cell>
        </row>
        <row r="77">
          <cell r="A77">
            <v>43584</v>
          </cell>
          <cell r="B77">
            <v>2943.026919667288</v>
          </cell>
        </row>
        <row r="78">
          <cell r="A78">
            <v>43585</v>
          </cell>
          <cell r="B78">
            <v>2945.8308868458057</v>
          </cell>
        </row>
        <row r="79">
          <cell r="A79">
            <v>43586</v>
          </cell>
          <cell r="B79">
            <v>2923.7319381825055</v>
          </cell>
        </row>
        <row r="80">
          <cell r="A80">
            <v>43587</v>
          </cell>
          <cell r="B80">
            <v>2917.5163798788308</v>
          </cell>
        </row>
        <row r="81">
          <cell r="A81">
            <v>43588</v>
          </cell>
          <cell r="B81">
            <v>2945.6377901022634</v>
          </cell>
        </row>
        <row r="82">
          <cell r="A82">
            <v>43591</v>
          </cell>
          <cell r="B82">
            <v>2932.4738490857135</v>
          </cell>
        </row>
        <row r="83">
          <cell r="A83">
            <v>43592</v>
          </cell>
          <cell r="B83">
            <v>2884.0503077962385</v>
          </cell>
        </row>
        <row r="84">
          <cell r="A84">
            <v>43593</v>
          </cell>
          <cell r="B84">
            <v>2879.4196417361914</v>
          </cell>
        </row>
        <row r="85">
          <cell r="A85">
            <v>43594</v>
          </cell>
          <cell r="B85">
            <v>2870.7170957245125</v>
          </cell>
        </row>
        <row r="86">
          <cell r="A86">
            <v>43595</v>
          </cell>
          <cell r="B86">
            <v>2881.4005103276745</v>
          </cell>
        </row>
        <row r="87">
          <cell r="A87">
            <v>43598</v>
          </cell>
          <cell r="B87">
            <v>2811.8654001004779</v>
          </cell>
        </row>
        <row r="88">
          <cell r="A88">
            <v>43599</v>
          </cell>
          <cell r="B88">
            <v>2834.4068001572468</v>
          </cell>
        </row>
        <row r="89">
          <cell r="A89">
            <v>43600</v>
          </cell>
          <cell r="B89">
            <v>2850.9645340323104</v>
          </cell>
        </row>
        <row r="90">
          <cell r="A90">
            <v>43601</v>
          </cell>
          <cell r="B90">
            <v>2876.3169278960177</v>
          </cell>
        </row>
        <row r="91">
          <cell r="A91">
            <v>43602</v>
          </cell>
          <cell r="B91">
            <v>2859.5323467116914</v>
          </cell>
        </row>
        <row r="92">
          <cell r="A92">
            <v>43605</v>
          </cell>
          <cell r="B92">
            <v>2840.2331323810981</v>
          </cell>
        </row>
        <row r="93">
          <cell r="A93">
            <v>43606</v>
          </cell>
          <cell r="B93">
            <v>2864.3594093680108</v>
          </cell>
        </row>
        <row r="94">
          <cell r="A94">
            <v>43607</v>
          </cell>
          <cell r="B94">
            <v>2856.2741510342721</v>
          </cell>
        </row>
        <row r="95">
          <cell r="A95">
            <v>43608</v>
          </cell>
          <cell r="B95">
            <v>2822.2409559279745</v>
          </cell>
        </row>
        <row r="96">
          <cell r="A96">
            <v>43609</v>
          </cell>
          <cell r="B96">
            <v>2826.0646864961</v>
          </cell>
        </row>
        <row r="97">
          <cell r="A97">
            <v>43613</v>
          </cell>
          <cell r="B97">
            <v>2802.3852184126117</v>
          </cell>
        </row>
        <row r="98">
          <cell r="A98">
            <v>43614</v>
          </cell>
          <cell r="B98">
            <v>2783.0183224371567</v>
          </cell>
        </row>
        <row r="99">
          <cell r="A99">
            <v>43615</v>
          </cell>
          <cell r="B99">
            <v>2788.8649306177908</v>
          </cell>
        </row>
        <row r="100">
          <cell r="A100">
            <v>43616</v>
          </cell>
          <cell r="B100">
            <v>2752.0628861321829</v>
          </cell>
        </row>
        <row r="101">
          <cell r="A101">
            <v>43619</v>
          </cell>
          <cell r="B101">
            <v>2744.4464431785109</v>
          </cell>
        </row>
        <row r="102">
          <cell r="A102">
            <v>43620</v>
          </cell>
          <cell r="B102">
            <v>2803.2725358166681</v>
          </cell>
        </row>
        <row r="103">
          <cell r="A103">
            <v>43621</v>
          </cell>
          <cell r="B103">
            <v>2826.150599552202</v>
          </cell>
        </row>
        <row r="104">
          <cell r="A104">
            <v>43622</v>
          </cell>
          <cell r="B104">
            <v>2843.4903771814538</v>
          </cell>
        </row>
        <row r="105">
          <cell r="A105">
            <v>43623</v>
          </cell>
          <cell r="B105">
            <v>2873.3420016462501</v>
          </cell>
        </row>
        <row r="106">
          <cell r="A106">
            <v>43626</v>
          </cell>
          <cell r="B106">
            <v>2886.7341265343844</v>
          </cell>
        </row>
        <row r="107">
          <cell r="A107">
            <v>43627</v>
          </cell>
          <cell r="B107">
            <v>2885.7221462383695</v>
          </cell>
        </row>
        <row r="108">
          <cell r="A108">
            <v>43628</v>
          </cell>
          <cell r="B108">
            <v>2879.8364590721526</v>
          </cell>
        </row>
        <row r="109">
          <cell r="A109">
            <v>43629</v>
          </cell>
          <cell r="B109">
            <v>2891.6405345038365</v>
          </cell>
        </row>
        <row r="110">
          <cell r="A110">
            <v>43630</v>
          </cell>
          <cell r="B110">
            <v>2886.9832099801311</v>
          </cell>
        </row>
        <row r="111">
          <cell r="A111">
            <v>43633</v>
          </cell>
          <cell r="B111">
            <v>2889.6699778407151</v>
          </cell>
        </row>
        <row r="112">
          <cell r="A112">
            <v>43634</v>
          </cell>
          <cell r="B112">
            <v>2917.7507616530788</v>
          </cell>
        </row>
        <row r="113">
          <cell r="A113">
            <v>43635</v>
          </cell>
          <cell r="B113">
            <v>2926.4558150439875</v>
          </cell>
        </row>
        <row r="114">
          <cell r="A114">
            <v>43636</v>
          </cell>
          <cell r="B114">
            <v>2954.1818728841436</v>
          </cell>
        </row>
        <row r="115">
          <cell r="A115">
            <v>43637</v>
          </cell>
          <cell r="B115">
            <v>2950.455013210636</v>
          </cell>
        </row>
        <row r="116">
          <cell r="A116">
            <v>43640</v>
          </cell>
          <cell r="B116">
            <v>2945.3487961538822</v>
          </cell>
        </row>
        <row r="117">
          <cell r="A117">
            <v>43641</v>
          </cell>
          <cell r="B117">
            <v>2917.3831404343919</v>
          </cell>
        </row>
        <row r="118">
          <cell r="A118">
            <v>43642</v>
          </cell>
          <cell r="B118">
            <v>2913.7787781963061</v>
          </cell>
        </row>
        <row r="119">
          <cell r="A119">
            <v>43643</v>
          </cell>
          <cell r="B119">
            <v>2924.9212016279544</v>
          </cell>
        </row>
        <row r="120">
          <cell r="A120">
            <v>43644</v>
          </cell>
          <cell r="B120">
            <v>2941.7606374579345</v>
          </cell>
        </row>
        <row r="121">
          <cell r="A121">
            <v>43647</v>
          </cell>
          <cell r="B121">
            <v>2964.33284246836</v>
          </cell>
        </row>
        <row r="122">
          <cell r="A122">
            <v>43648</v>
          </cell>
          <cell r="B122">
            <v>2973.011927566301</v>
          </cell>
        </row>
        <row r="123">
          <cell r="A123">
            <v>43649</v>
          </cell>
          <cell r="B123">
            <v>2995.8225920371956</v>
          </cell>
        </row>
        <row r="124">
          <cell r="A124">
            <v>43651</v>
          </cell>
          <cell r="B124">
            <v>2990.4095826285779</v>
          </cell>
        </row>
        <row r="125">
          <cell r="A125">
            <v>43654</v>
          </cell>
          <cell r="B125">
            <v>2975.9455012433718</v>
          </cell>
        </row>
        <row r="126">
          <cell r="A126">
            <v>43655</v>
          </cell>
          <cell r="B126">
            <v>2979.6258058689832</v>
          </cell>
        </row>
        <row r="127">
          <cell r="A127">
            <v>43656</v>
          </cell>
          <cell r="B127">
            <v>2993.0699580184587</v>
          </cell>
        </row>
        <row r="128">
          <cell r="A128">
            <v>43657</v>
          </cell>
          <cell r="B128">
            <v>2999.90694729709</v>
          </cell>
        </row>
        <row r="129">
          <cell r="A129">
            <v>43658</v>
          </cell>
          <cell r="B129">
            <v>3013.7726490768137</v>
          </cell>
        </row>
        <row r="130">
          <cell r="A130">
            <v>43661</v>
          </cell>
          <cell r="B130">
            <v>3014.2978852130268</v>
          </cell>
        </row>
        <row r="131">
          <cell r="A131">
            <v>43662</v>
          </cell>
          <cell r="B131">
            <v>3004.0431039320347</v>
          </cell>
        </row>
        <row r="132">
          <cell r="A132">
            <v>43663</v>
          </cell>
          <cell r="B132">
            <v>2984.4234710898791</v>
          </cell>
        </row>
        <row r="133">
          <cell r="A133">
            <v>43664</v>
          </cell>
          <cell r="B133">
            <v>2995.1124645295586</v>
          </cell>
        </row>
        <row r="134">
          <cell r="A134">
            <v>43665</v>
          </cell>
          <cell r="B134">
            <v>2976.6090569872754</v>
          </cell>
        </row>
        <row r="135">
          <cell r="A135">
            <v>43668</v>
          </cell>
          <cell r="B135">
            <v>2985.0311553162123</v>
          </cell>
        </row>
        <row r="136">
          <cell r="A136">
            <v>43669</v>
          </cell>
          <cell r="B136">
            <v>3005.4734873057182</v>
          </cell>
        </row>
        <row r="137">
          <cell r="A137">
            <v>43670</v>
          </cell>
          <cell r="B137">
            <v>3019.5565604111998</v>
          </cell>
        </row>
        <row r="138">
          <cell r="A138">
            <v>43671</v>
          </cell>
          <cell r="B138">
            <v>3003.6712511099136</v>
          </cell>
        </row>
        <row r="139">
          <cell r="A139">
            <v>43672</v>
          </cell>
          <cell r="B139">
            <v>3025.8591481188296</v>
          </cell>
        </row>
        <row r="140">
          <cell r="A140">
            <v>43675</v>
          </cell>
          <cell r="B140">
            <v>3020.9681229405687</v>
          </cell>
        </row>
        <row r="141">
          <cell r="A141">
            <v>43676</v>
          </cell>
          <cell r="B141">
            <v>3013.1818626619583</v>
          </cell>
        </row>
        <row r="142">
          <cell r="A142">
            <v>43677</v>
          </cell>
          <cell r="B142">
            <v>2980.3788544642703</v>
          </cell>
        </row>
        <row r="143">
          <cell r="A143">
            <v>43678</v>
          </cell>
          <cell r="B143">
            <v>2953.560123626331</v>
          </cell>
        </row>
        <row r="144">
          <cell r="A144">
            <v>43679</v>
          </cell>
          <cell r="B144">
            <v>2932.0452074070449</v>
          </cell>
        </row>
        <row r="145">
          <cell r="A145">
            <v>43682</v>
          </cell>
          <cell r="B145">
            <v>2844.7427082969057</v>
          </cell>
        </row>
        <row r="146">
          <cell r="A146">
            <v>43683</v>
          </cell>
          <cell r="B146">
            <v>2881.7740741992161</v>
          </cell>
        </row>
        <row r="147">
          <cell r="A147">
            <v>43684</v>
          </cell>
          <cell r="B147">
            <v>2883.9844170452166</v>
          </cell>
        </row>
        <row r="148">
          <cell r="A148">
            <v>43685</v>
          </cell>
          <cell r="B148">
            <v>2938.0945262595137</v>
          </cell>
        </row>
        <row r="149">
          <cell r="A149">
            <v>43686</v>
          </cell>
          <cell r="B149">
            <v>2918.6456020570922</v>
          </cell>
        </row>
        <row r="150">
          <cell r="A150">
            <v>43689</v>
          </cell>
          <cell r="B150">
            <v>2883.75</v>
          </cell>
        </row>
        <row r="151">
          <cell r="A151">
            <v>43690</v>
          </cell>
          <cell r="B151">
            <v>2926.3247709496181</v>
          </cell>
        </row>
        <row r="152">
          <cell r="A152">
            <v>43691</v>
          </cell>
          <cell r="B152">
            <v>2840.5982828209867</v>
          </cell>
        </row>
        <row r="153">
          <cell r="A153">
            <v>43692</v>
          </cell>
          <cell r="B153">
            <v>2847.5950637401747</v>
          </cell>
        </row>
        <row r="154">
          <cell r="A154">
            <v>43693</v>
          </cell>
          <cell r="B154">
            <v>2888.677981429888</v>
          </cell>
        </row>
        <row r="155">
          <cell r="A155">
            <v>43696</v>
          </cell>
          <cell r="B155">
            <v>2923.648225930589</v>
          </cell>
        </row>
        <row r="156">
          <cell r="A156">
            <v>43697</v>
          </cell>
          <cell r="B156">
            <v>2900.5102677585041</v>
          </cell>
        </row>
        <row r="157">
          <cell r="A157">
            <v>43698</v>
          </cell>
          <cell r="B157">
            <v>2924.4303174900924</v>
          </cell>
        </row>
        <row r="158">
          <cell r="A158">
            <v>43699</v>
          </cell>
          <cell r="B158">
            <v>2922.9523576930023</v>
          </cell>
        </row>
        <row r="159">
          <cell r="A159">
            <v>43700</v>
          </cell>
          <cell r="B159">
            <v>2847.1109835578504</v>
          </cell>
        </row>
        <row r="160">
          <cell r="A160">
            <v>43703</v>
          </cell>
          <cell r="B160">
            <v>2878.3838848430109</v>
          </cell>
        </row>
        <row r="161">
          <cell r="A161">
            <v>43704</v>
          </cell>
          <cell r="B161">
            <v>2869.1561113139273</v>
          </cell>
        </row>
        <row r="162">
          <cell r="A162">
            <v>43705</v>
          </cell>
          <cell r="B162">
            <v>2887.9387900043421</v>
          </cell>
        </row>
        <row r="163">
          <cell r="A163">
            <v>43706</v>
          </cell>
          <cell r="B163">
            <v>2924.5770989022708</v>
          </cell>
        </row>
        <row r="164">
          <cell r="A164">
            <v>43707</v>
          </cell>
          <cell r="B164">
            <v>2926.4581286088824</v>
          </cell>
        </row>
        <row r="165">
          <cell r="A165">
            <v>43711</v>
          </cell>
          <cell r="B165">
            <v>2906.2711064674472</v>
          </cell>
        </row>
        <row r="166">
          <cell r="A166">
            <v>43712</v>
          </cell>
          <cell r="B166">
            <v>2937.7790248924434</v>
          </cell>
        </row>
        <row r="167">
          <cell r="A167">
            <v>43713</v>
          </cell>
          <cell r="B167">
            <v>2975.99744554974</v>
          </cell>
        </row>
        <row r="168">
          <cell r="A168">
            <v>43714</v>
          </cell>
          <cell r="B168">
            <v>2978.7078106171421</v>
          </cell>
        </row>
        <row r="169">
          <cell r="A169">
            <v>43717</v>
          </cell>
          <cell r="B169">
            <v>2978.4337960358221</v>
          </cell>
        </row>
        <row r="170">
          <cell r="A170">
            <v>43718</v>
          </cell>
          <cell r="B170">
            <v>2979.3855462978045</v>
          </cell>
        </row>
        <row r="171">
          <cell r="A171">
            <v>43719</v>
          </cell>
          <cell r="B171">
            <v>3000.926355136351</v>
          </cell>
        </row>
        <row r="172">
          <cell r="A172">
            <v>43720</v>
          </cell>
          <cell r="B172">
            <v>3009.5718752192215</v>
          </cell>
        </row>
        <row r="173">
          <cell r="A173">
            <v>43721</v>
          </cell>
          <cell r="B173">
            <v>3007.3873736277542</v>
          </cell>
        </row>
        <row r="174">
          <cell r="A174">
            <v>43724</v>
          </cell>
          <cell r="B174">
            <v>2997.9595912212417</v>
          </cell>
        </row>
        <row r="175">
          <cell r="A175">
            <v>43725</v>
          </cell>
          <cell r="B175">
            <v>3005.6964617529316</v>
          </cell>
        </row>
        <row r="176">
          <cell r="A176">
            <v>43726</v>
          </cell>
          <cell r="B176">
            <v>3006.729985500393</v>
          </cell>
        </row>
        <row r="177">
          <cell r="A177">
            <v>43727</v>
          </cell>
          <cell r="B177">
            <v>3006.790781830704</v>
          </cell>
        </row>
        <row r="178">
          <cell r="A178">
            <v>43728</v>
          </cell>
          <cell r="B178">
            <v>2992.0722935071785</v>
          </cell>
        </row>
        <row r="179">
          <cell r="A179">
            <v>43731</v>
          </cell>
          <cell r="B179">
            <v>2991.7790334705755</v>
          </cell>
        </row>
        <row r="180">
          <cell r="A180">
            <v>43732</v>
          </cell>
          <cell r="B180">
            <v>2966.5960039121405</v>
          </cell>
        </row>
        <row r="181">
          <cell r="A181">
            <v>43733</v>
          </cell>
          <cell r="B181">
            <v>2984.8683331356365</v>
          </cell>
        </row>
        <row r="182">
          <cell r="A182">
            <v>43734</v>
          </cell>
          <cell r="B182">
            <v>2977.6174364771396</v>
          </cell>
        </row>
        <row r="183">
          <cell r="A183">
            <v>43735</v>
          </cell>
          <cell r="B183">
            <v>2961.7931162999603</v>
          </cell>
        </row>
        <row r="184">
          <cell r="A184">
            <v>43738</v>
          </cell>
          <cell r="B184">
            <v>2976.7372717443327</v>
          </cell>
        </row>
        <row r="185">
          <cell r="A185">
            <v>43739</v>
          </cell>
          <cell r="B185">
            <v>2940.2485884777147</v>
          </cell>
        </row>
        <row r="186">
          <cell r="A186">
            <v>43740</v>
          </cell>
          <cell r="B186">
            <v>2887.606504162995</v>
          </cell>
        </row>
        <row r="187">
          <cell r="A187">
            <v>43741</v>
          </cell>
          <cell r="B187">
            <v>2910.6340405401388</v>
          </cell>
        </row>
        <row r="188">
          <cell r="A188">
            <v>43742</v>
          </cell>
          <cell r="B188">
            <v>2952.0075644403978</v>
          </cell>
        </row>
        <row r="189">
          <cell r="A189">
            <v>43745</v>
          </cell>
          <cell r="B189">
            <v>2938.7893931237022</v>
          </cell>
        </row>
        <row r="190">
          <cell r="A190">
            <v>43746</v>
          </cell>
          <cell r="B190">
            <v>2893.0555807820838</v>
          </cell>
        </row>
        <row r="191">
          <cell r="A191">
            <v>43747</v>
          </cell>
          <cell r="B191">
            <v>2919.4000974809646</v>
          </cell>
        </row>
        <row r="192">
          <cell r="A192">
            <v>43748</v>
          </cell>
          <cell r="B192">
            <v>2938.1323548147861</v>
          </cell>
        </row>
        <row r="193">
          <cell r="A193">
            <v>43749</v>
          </cell>
          <cell r="B193">
            <v>2970.2695448855425</v>
          </cell>
        </row>
        <row r="194">
          <cell r="A194">
            <v>43752</v>
          </cell>
          <cell r="B194">
            <v>2966.1504555803626</v>
          </cell>
        </row>
        <row r="195">
          <cell r="A195">
            <v>43753</v>
          </cell>
          <cell r="B195">
            <v>2995.6831330241921</v>
          </cell>
        </row>
        <row r="196">
          <cell r="A196">
            <v>43754</v>
          </cell>
          <cell r="B196">
            <v>2989.693781043632</v>
          </cell>
        </row>
        <row r="197">
          <cell r="A197">
            <v>43755</v>
          </cell>
          <cell r="B197">
            <v>2997.9528862060724</v>
          </cell>
        </row>
        <row r="198">
          <cell r="A198">
            <v>43756</v>
          </cell>
          <cell r="B198">
            <v>2986.2034836123844</v>
          </cell>
        </row>
        <row r="199">
          <cell r="A199">
            <v>43759</v>
          </cell>
          <cell r="B199">
            <v>3006.7242822969392</v>
          </cell>
        </row>
        <row r="200">
          <cell r="A200">
            <v>43760</v>
          </cell>
          <cell r="B200">
            <v>2995.9929636091292</v>
          </cell>
        </row>
        <row r="201">
          <cell r="A201">
            <v>43761</v>
          </cell>
          <cell r="B201">
            <v>3004.524330502762</v>
          </cell>
        </row>
        <row r="202">
          <cell r="A202">
            <v>43762</v>
          </cell>
          <cell r="B202">
            <v>3010.2853025981613</v>
          </cell>
        </row>
        <row r="203">
          <cell r="A203">
            <v>43763</v>
          </cell>
          <cell r="B203">
            <v>3022.549643690118</v>
          </cell>
        </row>
        <row r="204">
          <cell r="A204">
            <v>43766</v>
          </cell>
          <cell r="B204">
            <v>3039.4199220226506</v>
          </cell>
        </row>
        <row r="205">
          <cell r="A205">
            <v>43767</v>
          </cell>
          <cell r="B205">
            <v>3036.8922475774289</v>
          </cell>
        </row>
        <row r="206">
          <cell r="A206">
            <v>43768</v>
          </cell>
          <cell r="B206">
            <v>3046.7662003716096</v>
          </cell>
        </row>
        <row r="207">
          <cell r="A207">
            <v>43769</v>
          </cell>
          <cell r="B207">
            <v>3037.5644352599625</v>
          </cell>
        </row>
        <row r="208">
          <cell r="A208">
            <v>43770</v>
          </cell>
          <cell r="B208">
            <v>3066.914735031588</v>
          </cell>
        </row>
        <row r="209">
          <cell r="A209">
            <v>43773</v>
          </cell>
          <cell r="B209">
            <v>3078.2697296470428</v>
          </cell>
        </row>
        <row r="210">
          <cell r="A210">
            <v>43774</v>
          </cell>
          <cell r="B210">
            <v>3074.6159174574223</v>
          </cell>
        </row>
        <row r="211">
          <cell r="A211">
            <v>43775</v>
          </cell>
          <cell r="B211">
            <v>3076.7753427904145</v>
          </cell>
        </row>
        <row r="212">
          <cell r="A212">
            <v>43776</v>
          </cell>
          <cell r="B212">
            <v>3085.1818609346037</v>
          </cell>
        </row>
        <row r="213">
          <cell r="A213">
            <v>43777</v>
          </cell>
          <cell r="B213">
            <v>3093.0848032675412</v>
          </cell>
        </row>
        <row r="214">
          <cell r="A214">
            <v>43780</v>
          </cell>
          <cell r="B214">
            <v>3087.0050177695357</v>
          </cell>
        </row>
        <row r="215">
          <cell r="A215">
            <v>43781</v>
          </cell>
          <cell r="B215">
            <v>3091.839016023886</v>
          </cell>
        </row>
        <row r="216">
          <cell r="A216">
            <v>43782</v>
          </cell>
          <cell r="B216">
            <v>3094.0353401605175</v>
          </cell>
        </row>
        <row r="217">
          <cell r="A217">
            <v>43783</v>
          </cell>
          <cell r="B217">
            <v>3096.6331268924378</v>
          </cell>
        </row>
        <row r="218">
          <cell r="A218">
            <v>43784</v>
          </cell>
          <cell r="B218">
            <v>3120.4604032335037</v>
          </cell>
        </row>
        <row r="219">
          <cell r="A219">
            <v>43787</v>
          </cell>
          <cell r="B219">
            <v>3122.028006676167</v>
          </cell>
        </row>
        <row r="220">
          <cell r="A220">
            <v>43788</v>
          </cell>
          <cell r="B220">
            <v>3120.1812842673753</v>
          </cell>
        </row>
        <row r="221">
          <cell r="A221">
            <v>43789</v>
          </cell>
          <cell r="B221">
            <v>3108.4581501789567</v>
          </cell>
        </row>
        <row r="222">
          <cell r="A222">
            <v>43790</v>
          </cell>
          <cell r="B222">
            <v>3103.5369124181698</v>
          </cell>
        </row>
        <row r="223">
          <cell r="A223">
            <v>43791</v>
          </cell>
          <cell r="B223">
            <v>3110.2883488152388</v>
          </cell>
        </row>
        <row r="224">
          <cell r="A224">
            <v>43794</v>
          </cell>
          <cell r="B224">
            <v>3133.6428229301277</v>
          </cell>
        </row>
        <row r="225">
          <cell r="A225">
            <v>43795</v>
          </cell>
          <cell r="B225">
            <v>3140.5198640129411</v>
          </cell>
        </row>
        <row r="226">
          <cell r="A226">
            <v>43796</v>
          </cell>
          <cell r="B226">
            <v>3153.6280711461113</v>
          </cell>
        </row>
        <row r="227">
          <cell r="A227">
            <v>43798</v>
          </cell>
          <cell r="B227">
            <v>3140.9806277025359</v>
          </cell>
        </row>
        <row r="228">
          <cell r="A228">
            <v>43801</v>
          </cell>
          <cell r="B228">
            <v>3113.8736307849322</v>
          </cell>
        </row>
        <row r="229">
          <cell r="A229">
            <v>43802</v>
          </cell>
          <cell r="B229">
            <v>3093.2009127132724</v>
          </cell>
        </row>
        <row r="230">
          <cell r="A230">
            <v>43803</v>
          </cell>
          <cell r="B230">
            <v>3112.7563453632383</v>
          </cell>
        </row>
        <row r="231">
          <cell r="A231">
            <v>43804</v>
          </cell>
          <cell r="B231">
            <v>3117.4285883067314</v>
          </cell>
        </row>
        <row r="232">
          <cell r="A232">
            <v>43805</v>
          </cell>
          <cell r="B232">
            <v>3145.9110261640335</v>
          </cell>
        </row>
        <row r="233">
          <cell r="A233">
            <v>43808</v>
          </cell>
          <cell r="B233">
            <v>3135.9613835822133</v>
          </cell>
        </row>
        <row r="234">
          <cell r="A234">
            <v>43809</v>
          </cell>
          <cell r="B234">
            <v>3132.5186065152216</v>
          </cell>
        </row>
        <row r="235">
          <cell r="A235">
            <v>43810</v>
          </cell>
          <cell r="B235">
            <v>3141.6266769632507</v>
          </cell>
        </row>
        <row r="236">
          <cell r="A236">
            <v>43811</v>
          </cell>
          <cell r="B236">
            <v>3168.5691707344458</v>
          </cell>
        </row>
        <row r="237">
          <cell r="A237">
            <v>43812</v>
          </cell>
          <cell r="B237">
            <v>3168.7996331577629</v>
          </cell>
        </row>
        <row r="238">
          <cell r="A238">
            <v>43815</v>
          </cell>
          <cell r="B238">
            <v>3191.4490189645671</v>
          </cell>
        </row>
        <row r="239">
          <cell r="A239">
            <v>43816</v>
          </cell>
          <cell r="B239">
            <v>3192.5185799434958</v>
          </cell>
        </row>
        <row r="240">
          <cell r="A240">
            <v>43817</v>
          </cell>
          <cell r="B240">
            <v>3191.1420439248</v>
          </cell>
        </row>
        <row r="241">
          <cell r="A241">
            <v>43818</v>
          </cell>
          <cell r="B241">
            <v>3205.3683778174791</v>
          </cell>
        </row>
        <row r="242">
          <cell r="A242">
            <v>43819</v>
          </cell>
          <cell r="B242">
            <v>3221.2245831094338</v>
          </cell>
        </row>
        <row r="243">
          <cell r="A243">
            <v>43822</v>
          </cell>
          <cell r="B243">
            <v>3224.0098859051418</v>
          </cell>
        </row>
        <row r="244">
          <cell r="A244">
            <v>43823</v>
          </cell>
          <cell r="B244">
            <v>3223.3757001893691</v>
          </cell>
        </row>
        <row r="245">
          <cell r="A245">
            <v>43825</v>
          </cell>
          <cell r="B245">
            <v>3239.9071377461237</v>
          </cell>
        </row>
        <row r="246">
          <cell r="A246">
            <v>43826</v>
          </cell>
          <cell r="B246">
            <v>3240.0203584226101</v>
          </cell>
        </row>
        <row r="247">
          <cell r="A247">
            <v>43829</v>
          </cell>
          <cell r="B247">
            <v>3221.2918082338774</v>
          </cell>
        </row>
        <row r="248">
          <cell r="A248">
            <v>43830</v>
          </cell>
          <cell r="B248">
            <v>3230.7819500904302</v>
          </cell>
        </row>
        <row r="249">
          <cell r="A249">
            <v>43832</v>
          </cell>
          <cell r="B249">
            <v>3257.8477866115977</v>
          </cell>
        </row>
        <row r="250">
          <cell r="A250">
            <v>43833</v>
          </cell>
          <cell r="B250">
            <v>3234.848563238078</v>
          </cell>
        </row>
        <row r="251">
          <cell r="A251">
            <v>43836</v>
          </cell>
          <cell r="B251">
            <v>3246.28255667863</v>
          </cell>
        </row>
        <row r="252">
          <cell r="A252">
            <v>43837</v>
          </cell>
          <cell r="B252">
            <v>3237.1824519689726</v>
          </cell>
        </row>
        <row r="253">
          <cell r="A253">
            <v>43838</v>
          </cell>
          <cell r="B253">
            <v>3253.0459435601724</v>
          </cell>
        </row>
        <row r="254">
          <cell r="A254">
            <v>43839</v>
          </cell>
          <cell r="B254">
            <v>3274.7041934341169</v>
          </cell>
        </row>
        <row r="255">
          <cell r="A255">
            <v>43840</v>
          </cell>
          <cell r="B255">
            <v>3265.3511353379699</v>
          </cell>
        </row>
        <row r="256">
          <cell r="A256">
            <v>43843</v>
          </cell>
          <cell r="B256">
            <v>3288.1335398178521</v>
          </cell>
        </row>
        <row r="257">
          <cell r="A257">
            <v>43844</v>
          </cell>
          <cell r="B257">
            <v>3283.1524483937824</v>
          </cell>
        </row>
        <row r="258">
          <cell r="A258">
            <v>43845</v>
          </cell>
          <cell r="B258">
            <v>3289.2925874927155</v>
          </cell>
        </row>
        <row r="259">
          <cell r="A259">
            <v>43846</v>
          </cell>
          <cell r="B259">
            <v>3316.8058915649876</v>
          </cell>
        </row>
        <row r="260">
          <cell r="A260">
            <v>43847</v>
          </cell>
          <cell r="B260">
            <v>3329.6226582021523</v>
          </cell>
        </row>
        <row r="261">
          <cell r="A261">
            <v>43851</v>
          </cell>
          <cell r="B261">
            <v>3320.7908480590531</v>
          </cell>
        </row>
        <row r="262">
          <cell r="A262">
            <v>43852</v>
          </cell>
          <cell r="B262">
            <v>3321.7468532716007</v>
          </cell>
        </row>
        <row r="263">
          <cell r="A263">
            <v>43853</v>
          </cell>
          <cell r="B263">
            <v>3325.5427890205528</v>
          </cell>
        </row>
        <row r="264">
          <cell r="A264">
            <v>43854</v>
          </cell>
          <cell r="B264">
            <v>3295.4734493136125</v>
          </cell>
        </row>
        <row r="265">
          <cell r="A265">
            <v>43857</v>
          </cell>
          <cell r="B265">
            <v>3243.6282038311633</v>
          </cell>
        </row>
        <row r="266">
          <cell r="A266">
            <v>43858</v>
          </cell>
          <cell r="B266">
            <v>3276.2434398222117</v>
          </cell>
        </row>
        <row r="267">
          <cell r="A267">
            <v>43859</v>
          </cell>
          <cell r="B267">
            <v>3273.4026027104387</v>
          </cell>
        </row>
        <row r="268">
          <cell r="A268">
            <v>43860</v>
          </cell>
          <cell r="B268">
            <v>3283.6590434890768</v>
          </cell>
        </row>
        <row r="269">
          <cell r="A269">
            <v>43861</v>
          </cell>
          <cell r="B269">
            <v>3225.5163164640862</v>
          </cell>
        </row>
        <row r="270">
          <cell r="A270">
            <v>43864</v>
          </cell>
          <cell r="B270">
            <v>3248.924997360969</v>
          </cell>
        </row>
        <row r="271">
          <cell r="A271">
            <v>43865</v>
          </cell>
          <cell r="B271">
            <v>3297.5882162895978</v>
          </cell>
        </row>
        <row r="272">
          <cell r="A272">
            <v>43866</v>
          </cell>
          <cell r="B272">
            <v>3334.6942869918003</v>
          </cell>
        </row>
        <row r="273">
          <cell r="A273">
            <v>43867</v>
          </cell>
          <cell r="B273">
            <v>3345.7808623719498</v>
          </cell>
        </row>
        <row r="274">
          <cell r="A274">
            <v>43868</v>
          </cell>
          <cell r="B274">
            <v>3327.7068678737205</v>
          </cell>
        </row>
        <row r="275">
          <cell r="A275">
            <v>43871</v>
          </cell>
          <cell r="B275">
            <v>3352.0939509405812</v>
          </cell>
        </row>
        <row r="276">
          <cell r="A276">
            <v>43872</v>
          </cell>
          <cell r="B276">
            <v>3357.7472605343942</v>
          </cell>
        </row>
        <row r="277">
          <cell r="A277">
            <v>43873</v>
          </cell>
          <cell r="B277">
            <v>3379.4521901708717</v>
          </cell>
        </row>
        <row r="278">
          <cell r="A278">
            <v>43874</v>
          </cell>
          <cell r="B278">
            <v>3373.9373709163533</v>
          </cell>
        </row>
        <row r="279">
          <cell r="A279">
            <v>43875</v>
          </cell>
          <cell r="B279">
            <v>3380.1573755321256</v>
          </cell>
        </row>
        <row r="280">
          <cell r="A280">
            <v>43879</v>
          </cell>
          <cell r="B280">
            <v>3370.2864814712466</v>
          </cell>
        </row>
        <row r="281">
          <cell r="A281">
            <v>43880</v>
          </cell>
          <cell r="B281">
            <v>3386.1527183522226</v>
          </cell>
        </row>
        <row r="282">
          <cell r="A282">
            <v>43881</v>
          </cell>
          <cell r="B282">
            <v>3373.2315060711771</v>
          </cell>
        </row>
        <row r="283">
          <cell r="A283">
            <v>43882</v>
          </cell>
          <cell r="B283">
            <v>3337.7470178774652</v>
          </cell>
        </row>
        <row r="284">
          <cell r="A284">
            <v>43885</v>
          </cell>
          <cell r="B284">
            <v>3225.8864022371604</v>
          </cell>
        </row>
        <row r="285">
          <cell r="A285">
            <v>43886</v>
          </cell>
          <cell r="B285">
            <v>3128.2065811070738</v>
          </cell>
        </row>
        <row r="286">
          <cell r="A286">
            <v>43887</v>
          </cell>
          <cell r="B286">
            <v>3116.3898493057295</v>
          </cell>
        </row>
        <row r="287">
          <cell r="A287">
            <v>43888</v>
          </cell>
          <cell r="B287">
            <v>2978.7578316585978</v>
          </cell>
        </row>
        <row r="288">
          <cell r="A288">
            <v>43889</v>
          </cell>
          <cell r="B288">
            <v>2954.223684368626</v>
          </cell>
        </row>
        <row r="289">
          <cell r="A289">
            <v>43892</v>
          </cell>
          <cell r="B289">
            <v>3090.232840454777</v>
          </cell>
        </row>
        <row r="290">
          <cell r="A290">
            <v>43893</v>
          </cell>
          <cell r="B290">
            <v>3003.3651720328107</v>
          </cell>
        </row>
        <row r="291">
          <cell r="A291">
            <v>43894</v>
          </cell>
          <cell r="B291">
            <v>3130.1168787338538</v>
          </cell>
        </row>
        <row r="292">
          <cell r="A292">
            <v>43895</v>
          </cell>
          <cell r="B292">
            <v>3023.9403107854264</v>
          </cell>
        </row>
        <row r="293">
          <cell r="A293">
            <v>43896</v>
          </cell>
          <cell r="B293">
            <v>2972.371907121661</v>
          </cell>
        </row>
        <row r="294">
          <cell r="A294">
            <v>43899</v>
          </cell>
          <cell r="B294">
            <v>2746.5595752904615</v>
          </cell>
        </row>
        <row r="295">
          <cell r="A295">
            <v>43900</v>
          </cell>
          <cell r="B295">
            <v>2882.2254994584414</v>
          </cell>
        </row>
        <row r="296">
          <cell r="A296">
            <v>43901</v>
          </cell>
          <cell r="B296">
            <v>2741.3835884969585</v>
          </cell>
        </row>
        <row r="297">
          <cell r="A297">
            <v>43902</v>
          </cell>
          <cell r="B297">
            <v>2480.6410621926866</v>
          </cell>
        </row>
        <row r="298">
          <cell r="A298">
            <v>43903</v>
          </cell>
          <cell r="B298">
            <v>2711.0216933696265</v>
          </cell>
        </row>
        <row r="299">
          <cell r="A299">
            <v>43906</v>
          </cell>
          <cell r="B299">
            <v>2386.1339329628086</v>
          </cell>
        </row>
        <row r="300">
          <cell r="A300">
            <v>43907</v>
          </cell>
          <cell r="B300">
            <v>2529.194198768505</v>
          </cell>
        </row>
        <row r="301">
          <cell r="A301">
            <v>43908</v>
          </cell>
          <cell r="B301">
            <v>2398.0952205749618</v>
          </cell>
        </row>
        <row r="302">
          <cell r="A302">
            <v>43909</v>
          </cell>
          <cell r="B302">
            <v>2409.3865927922111</v>
          </cell>
        </row>
        <row r="303">
          <cell r="A303">
            <v>43910</v>
          </cell>
          <cell r="B303">
            <v>2304.9163004028178</v>
          </cell>
        </row>
        <row r="304">
          <cell r="A304">
            <v>43913</v>
          </cell>
          <cell r="B304">
            <v>2237.3953981131535</v>
          </cell>
        </row>
        <row r="305">
          <cell r="A305">
            <v>43914</v>
          </cell>
          <cell r="B305">
            <v>2447.330367564161</v>
          </cell>
        </row>
        <row r="306">
          <cell r="A306">
            <v>43915</v>
          </cell>
          <cell r="B306">
            <v>2475.5583346509384</v>
          </cell>
        </row>
        <row r="307">
          <cell r="A307">
            <v>43916</v>
          </cell>
          <cell r="B307">
            <v>2630.067156173207</v>
          </cell>
        </row>
        <row r="308">
          <cell r="A308">
            <v>43917</v>
          </cell>
          <cell r="B308">
            <v>2541.4696507809654</v>
          </cell>
        </row>
        <row r="309">
          <cell r="A309">
            <v>43920</v>
          </cell>
          <cell r="B309">
            <v>2626.6457614821329</v>
          </cell>
        </row>
        <row r="310">
          <cell r="A310">
            <v>43921</v>
          </cell>
          <cell r="B310">
            <v>2584.5907599343082</v>
          </cell>
        </row>
        <row r="311">
          <cell r="A311">
            <v>43922</v>
          </cell>
          <cell r="B311">
            <v>2470.5044097902091</v>
          </cell>
        </row>
      </sheetData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 1"/>
      <sheetName val="Raw"/>
      <sheetName val="Attributions"/>
    </sheetNames>
    <sheetDataSet>
      <sheetData sheetId="0">
        <row r="37">
          <cell r="A37">
            <v>43525</v>
          </cell>
          <cell r="B37">
            <v>629.46544190781663</v>
          </cell>
        </row>
        <row r="38">
          <cell r="A38">
            <v>43528</v>
          </cell>
          <cell r="B38">
            <v>631.88884850960119</v>
          </cell>
        </row>
        <row r="39">
          <cell r="A39">
            <v>43529</v>
          </cell>
          <cell r="B39">
            <v>632.12789705319756</v>
          </cell>
        </row>
        <row r="40">
          <cell r="A40">
            <v>43530</v>
          </cell>
          <cell r="B40">
            <v>630.89709731548692</v>
          </cell>
        </row>
        <row r="41">
          <cell r="A41">
            <v>43531</v>
          </cell>
          <cell r="B41">
            <v>628.55609955854129</v>
          </cell>
        </row>
        <row r="42">
          <cell r="A42">
            <v>43532</v>
          </cell>
          <cell r="B42">
            <v>628.55463888199017</v>
          </cell>
        </row>
        <row r="43">
          <cell r="A43">
            <v>43535</v>
          </cell>
          <cell r="B43">
            <v>635.69262874601998</v>
          </cell>
        </row>
        <row r="44">
          <cell r="A44">
            <v>43536</v>
          </cell>
          <cell r="B44">
            <v>637.5940077553737</v>
          </cell>
        </row>
        <row r="45">
          <cell r="A45">
            <v>43537</v>
          </cell>
          <cell r="B45">
            <v>644.21302159349432</v>
          </cell>
        </row>
        <row r="46">
          <cell r="A46">
            <v>43538</v>
          </cell>
          <cell r="B46">
            <v>644.3242384584828</v>
          </cell>
        </row>
        <row r="47">
          <cell r="A47">
            <v>43539</v>
          </cell>
          <cell r="B47">
            <v>651.70114666930476</v>
          </cell>
        </row>
        <row r="48">
          <cell r="A48">
            <v>43542</v>
          </cell>
          <cell r="B48">
            <v>645.70945647197561</v>
          </cell>
        </row>
        <row r="49">
          <cell r="A49">
            <v>43543</v>
          </cell>
          <cell r="B49">
            <v>646.01892417673764</v>
          </cell>
        </row>
        <row r="50">
          <cell r="A50">
            <v>43544</v>
          </cell>
          <cell r="B50">
            <v>643.72094670617946</v>
          </cell>
        </row>
        <row r="51">
          <cell r="A51">
            <v>43545</v>
          </cell>
          <cell r="B51">
            <v>649.86348770965787</v>
          </cell>
        </row>
        <row r="52">
          <cell r="A52">
            <v>43546</v>
          </cell>
          <cell r="B52">
            <v>647.14786804926166</v>
          </cell>
        </row>
        <row r="53">
          <cell r="A53">
            <v>43549</v>
          </cell>
          <cell r="B53">
            <v>649.06054634498855</v>
          </cell>
        </row>
        <row r="54">
          <cell r="A54">
            <v>43550</v>
          </cell>
          <cell r="B54">
            <v>655.76615082358978</v>
          </cell>
        </row>
        <row r="55">
          <cell r="A55">
            <v>43551</v>
          </cell>
          <cell r="B55">
            <v>655.86850811541501</v>
          </cell>
        </row>
        <row r="56">
          <cell r="A56">
            <v>43552</v>
          </cell>
          <cell r="B56">
            <v>660.65951447201644</v>
          </cell>
        </row>
        <row r="57">
          <cell r="A57">
            <v>43553</v>
          </cell>
          <cell r="B57">
            <v>663.93919285790116</v>
          </cell>
        </row>
        <row r="58">
          <cell r="A58">
            <v>43556</v>
          </cell>
          <cell r="B58">
            <v>661.14180796032508</v>
          </cell>
        </row>
        <row r="59">
          <cell r="A59">
            <v>43557</v>
          </cell>
          <cell r="B59">
            <v>661.45485269871403</v>
          </cell>
        </row>
        <row r="60">
          <cell r="A60">
            <v>43558</v>
          </cell>
          <cell r="B60">
            <v>659.8205545060938</v>
          </cell>
        </row>
        <row r="61">
          <cell r="A61">
            <v>43559</v>
          </cell>
          <cell r="B61">
            <v>658.69541538863143</v>
          </cell>
        </row>
        <row r="62">
          <cell r="A62">
            <v>43560</v>
          </cell>
          <cell r="B62">
            <v>659.66761061421676</v>
          </cell>
        </row>
        <row r="63">
          <cell r="A63">
            <v>43563</v>
          </cell>
          <cell r="B63">
            <v>664.68047717139837</v>
          </cell>
        </row>
        <row r="64">
          <cell r="A64">
            <v>43564</v>
          </cell>
          <cell r="B64">
            <v>663.52036944712859</v>
          </cell>
        </row>
        <row r="65">
          <cell r="A65">
            <v>43565</v>
          </cell>
          <cell r="B65">
            <v>663.92822205461414</v>
          </cell>
        </row>
        <row r="66">
          <cell r="A66">
            <v>43566</v>
          </cell>
          <cell r="B66">
            <v>665.35824336731355</v>
          </cell>
        </row>
        <row r="67">
          <cell r="A67">
            <v>43567</v>
          </cell>
          <cell r="B67">
            <v>668.07762598212332</v>
          </cell>
        </row>
        <row r="68">
          <cell r="A68">
            <v>43570</v>
          </cell>
          <cell r="B68">
            <v>670.40007861993513</v>
          </cell>
        </row>
        <row r="69">
          <cell r="A69">
            <v>43571</v>
          </cell>
          <cell r="B69">
            <v>673.3887756418319</v>
          </cell>
        </row>
        <row r="70">
          <cell r="A70">
            <v>43572</v>
          </cell>
          <cell r="B70">
            <v>670.75729982318069</v>
          </cell>
        </row>
        <row r="71">
          <cell r="A71">
            <v>43573</v>
          </cell>
          <cell r="B71">
            <v>672.77611245357434</v>
          </cell>
        </row>
        <row r="72">
          <cell r="A72">
            <v>43577</v>
          </cell>
          <cell r="B72">
            <v>676.98337015407287</v>
          </cell>
        </row>
        <row r="73">
          <cell r="A73">
            <v>43578</v>
          </cell>
          <cell r="B73">
            <v>661.32772142888859</v>
          </cell>
        </row>
        <row r="74">
          <cell r="A74">
            <v>43579</v>
          </cell>
          <cell r="B74">
            <v>662.69751482785807</v>
          </cell>
        </row>
        <row r="75">
          <cell r="A75">
            <v>43580</v>
          </cell>
          <cell r="B75">
            <v>660.76354968068699</v>
          </cell>
        </row>
        <row r="76">
          <cell r="A76">
            <v>43581</v>
          </cell>
          <cell r="B76">
            <v>677.01341791689845</v>
          </cell>
        </row>
        <row r="77">
          <cell r="A77">
            <v>43584</v>
          </cell>
          <cell r="B77">
            <v>671.97887940797852</v>
          </cell>
        </row>
        <row r="78">
          <cell r="A78">
            <v>43585</v>
          </cell>
          <cell r="B78">
            <v>684.02675194667461</v>
          </cell>
        </row>
        <row r="79">
          <cell r="A79">
            <v>43586</v>
          </cell>
          <cell r="B79">
            <v>670.78919209146068</v>
          </cell>
        </row>
        <row r="80">
          <cell r="A80">
            <v>43587</v>
          </cell>
          <cell r="B80">
            <v>675.72490625154228</v>
          </cell>
        </row>
        <row r="81">
          <cell r="A81">
            <v>43588</v>
          </cell>
          <cell r="B81">
            <v>677.95688994080649</v>
          </cell>
        </row>
        <row r="82">
          <cell r="A82">
            <v>43591</v>
          </cell>
          <cell r="B82">
            <v>675.96822291231001</v>
          </cell>
        </row>
        <row r="83">
          <cell r="A83">
            <v>43592</v>
          </cell>
          <cell r="B83">
            <v>668.87860955311885</v>
          </cell>
        </row>
        <row r="84">
          <cell r="A84">
            <v>43593</v>
          </cell>
          <cell r="B84">
            <v>671.70566278842364</v>
          </cell>
        </row>
        <row r="85">
          <cell r="A85">
            <v>43594</v>
          </cell>
          <cell r="B85">
            <v>667.16810985761788</v>
          </cell>
        </row>
        <row r="86">
          <cell r="A86">
            <v>43595</v>
          </cell>
          <cell r="B86">
            <v>676.65201457457408</v>
          </cell>
        </row>
        <row r="87">
          <cell r="A87">
            <v>43598</v>
          </cell>
          <cell r="B87">
            <v>677.84968913370926</v>
          </cell>
        </row>
        <row r="88">
          <cell r="A88">
            <v>43599</v>
          </cell>
          <cell r="B88">
            <v>673.8839100104575</v>
          </cell>
        </row>
        <row r="89">
          <cell r="A89">
            <v>43600</v>
          </cell>
          <cell r="B89">
            <v>680.05899941465987</v>
          </cell>
        </row>
        <row r="90">
          <cell r="A90">
            <v>43601</v>
          </cell>
          <cell r="B90">
            <v>687.88438383243442</v>
          </cell>
        </row>
        <row r="91">
          <cell r="A91">
            <v>43602</v>
          </cell>
          <cell r="B91">
            <v>684.06186895490964</v>
          </cell>
        </row>
        <row r="92">
          <cell r="A92">
            <v>43605</v>
          </cell>
          <cell r="B92">
            <v>683.81863964571471</v>
          </cell>
        </row>
        <row r="93">
          <cell r="A93">
            <v>43606</v>
          </cell>
          <cell r="B93">
            <v>679.89605253974162</v>
          </cell>
        </row>
        <row r="94">
          <cell r="A94">
            <v>43607</v>
          </cell>
          <cell r="B94">
            <v>682.43516366167466</v>
          </cell>
        </row>
        <row r="95">
          <cell r="A95">
            <v>43608</v>
          </cell>
          <cell r="B95">
            <v>683.35969748627429</v>
          </cell>
        </row>
        <row r="96">
          <cell r="A96">
            <v>43609</v>
          </cell>
          <cell r="B96">
            <v>681.66501751902331</v>
          </cell>
        </row>
        <row r="97">
          <cell r="A97">
            <v>43613</v>
          </cell>
          <cell r="B97">
            <v>668.44400290461829</v>
          </cell>
        </row>
        <row r="98">
          <cell r="A98">
            <v>43614</v>
          </cell>
          <cell r="B98">
            <v>667.24417681518116</v>
          </cell>
        </row>
        <row r="99">
          <cell r="A99">
            <v>43615</v>
          </cell>
          <cell r="B99">
            <v>675.3520630724579</v>
          </cell>
        </row>
        <row r="100">
          <cell r="A100">
            <v>43616</v>
          </cell>
          <cell r="B100">
            <v>661.85156185744086</v>
          </cell>
        </row>
        <row r="101">
          <cell r="A101">
            <v>43619</v>
          </cell>
          <cell r="B101">
            <v>670.30909883726622</v>
          </cell>
        </row>
        <row r="102">
          <cell r="A102">
            <v>43620</v>
          </cell>
          <cell r="B102">
            <v>674.07248851510155</v>
          </cell>
        </row>
        <row r="103">
          <cell r="A103">
            <v>43621</v>
          </cell>
          <cell r="B103">
            <v>686.67068636635327</v>
          </cell>
        </row>
        <row r="104">
          <cell r="A104">
            <v>43622</v>
          </cell>
          <cell r="B104">
            <v>692.19978974947935</v>
          </cell>
        </row>
        <row r="105">
          <cell r="A105">
            <v>43623</v>
          </cell>
          <cell r="B105">
            <v>699.55811046879091</v>
          </cell>
        </row>
        <row r="106">
          <cell r="A106">
            <v>43626</v>
          </cell>
          <cell r="B106">
            <v>697.6160317643803</v>
          </cell>
        </row>
        <row r="107">
          <cell r="A107">
            <v>43627</v>
          </cell>
          <cell r="B107">
            <v>700.34240570767599</v>
          </cell>
        </row>
        <row r="108">
          <cell r="A108">
            <v>43628</v>
          </cell>
          <cell r="B108">
            <v>702.36785168109236</v>
          </cell>
        </row>
        <row r="109">
          <cell r="A109">
            <v>43629</v>
          </cell>
          <cell r="B109">
            <v>707.48337468932289</v>
          </cell>
        </row>
        <row r="110">
          <cell r="A110">
            <v>43630</v>
          </cell>
          <cell r="B110">
            <v>710.01493109499552</v>
          </cell>
        </row>
        <row r="111">
          <cell r="A111">
            <v>43633</v>
          </cell>
          <cell r="B111">
            <v>708.6030344537071</v>
          </cell>
        </row>
        <row r="112">
          <cell r="A112">
            <v>43634</v>
          </cell>
          <cell r="B112">
            <v>700.7902359804192</v>
          </cell>
        </row>
        <row r="113">
          <cell r="A113">
            <v>43635</v>
          </cell>
          <cell r="B113">
            <v>704.81876947578678</v>
          </cell>
        </row>
        <row r="114">
          <cell r="A114">
            <v>43636</v>
          </cell>
          <cell r="B114">
            <v>711.0325426002936</v>
          </cell>
        </row>
        <row r="115">
          <cell r="A115">
            <v>43637</v>
          </cell>
          <cell r="B115">
            <v>707.35090563105962</v>
          </cell>
        </row>
        <row r="116">
          <cell r="A116">
            <v>43640</v>
          </cell>
          <cell r="B116">
            <v>714.89151323010401</v>
          </cell>
        </row>
        <row r="117">
          <cell r="A117">
            <v>43641</v>
          </cell>
          <cell r="B117">
            <v>711.493051628594</v>
          </cell>
        </row>
        <row r="118">
          <cell r="A118">
            <v>43642</v>
          </cell>
          <cell r="B118">
            <v>697.13502765651629</v>
          </cell>
        </row>
        <row r="119">
          <cell r="A119">
            <v>43643</v>
          </cell>
          <cell r="B119">
            <v>697.63717723500849</v>
          </cell>
        </row>
        <row r="120">
          <cell r="A120">
            <v>43644</v>
          </cell>
          <cell r="B120">
            <v>696.20734937004613</v>
          </cell>
        </row>
        <row r="121">
          <cell r="A121">
            <v>43647</v>
          </cell>
          <cell r="B121">
            <v>701.63911791025862</v>
          </cell>
        </row>
        <row r="122">
          <cell r="A122">
            <v>43648</v>
          </cell>
          <cell r="B122">
            <v>707.48045510451061</v>
          </cell>
        </row>
        <row r="123">
          <cell r="A123">
            <v>43649</v>
          </cell>
          <cell r="B123">
            <v>722.45841620202896</v>
          </cell>
        </row>
        <row r="124">
          <cell r="A124">
            <v>43651</v>
          </cell>
          <cell r="B124">
            <v>716.091799709822</v>
          </cell>
        </row>
        <row r="125">
          <cell r="A125">
            <v>43654</v>
          </cell>
          <cell r="B125">
            <v>721.12007649850011</v>
          </cell>
        </row>
        <row r="126">
          <cell r="A126">
            <v>43655</v>
          </cell>
          <cell r="B126">
            <v>714.61373489021491</v>
          </cell>
        </row>
        <row r="127">
          <cell r="A127">
            <v>43656</v>
          </cell>
          <cell r="B127">
            <v>719.25755531728112</v>
          </cell>
        </row>
        <row r="128">
          <cell r="A128">
            <v>43657</v>
          </cell>
          <cell r="B128">
            <v>722.68277031232128</v>
          </cell>
        </row>
        <row r="129">
          <cell r="A129">
            <v>43658</v>
          </cell>
          <cell r="B129">
            <v>727.35433606606421</v>
          </cell>
        </row>
        <row r="130">
          <cell r="A130">
            <v>43661</v>
          </cell>
          <cell r="B130">
            <v>729.22585907831103</v>
          </cell>
        </row>
        <row r="131">
          <cell r="A131">
            <v>43662</v>
          </cell>
          <cell r="B131">
            <v>731.55306536390333</v>
          </cell>
        </row>
        <row r="132">
          <cell r="A132">
            <v>43663</v>
          </cell>
          <cell r="B132">
            <v>730.36252565579571</v>
          </cell>
        </row>
        <row r="133">
          <cell r="A133">
            <v>43664</v>
          </cell>
          <cell r="B133">
            <v>729.20842660314077</v>
          </cell>
        </row>
        <row r="134">
          <cell r="A134">
            <v>43665</v>
          </cell>
          <cell r="B134">
            <v>724.22088199887583</v>
          </cell>
        </row>
        <row r="135">
          <cell r="A135">
            <v>43668</v>
          </cell>
          <cell r="B135">
            <v>723.96277087299939</v>
          </cell>
        </row>
        <row r="136">
          <cell r="A136">
            <v>43669</v>
          </cell>
          <cell r="B136">
            <v>718.72924905050843</v>
          </cell>
        </row>
        <row r="137">
          <cell r="A137">
            <v>43670</v>
          </cell>
          <cell r="B137">
            <v>711.30360334113618</v>
          </cell>
        </row>
        <row r="138">
          <cell r="A138">
            <v>43671</v>
          </cell>
          <cell r="B138">
            <v>713.54120634222159</v>
          </cell>
        </row>
        <row r="139">
          <cell r="A139">
            <v>43672</v>
          </cell>
          <cell r="B139">
            <v>726.35545311974158</v>
          </cell>
        </row>
        <row r="140">
          <cell r="A140">
            <v>43675</v>
          </cell>
          <cell r="B140">
            <v>734.8409376035388</v>
          </cell>
        </row>
        <row r="141">
          <cell r="A141">
            <v>43676</v>
          </cell>
          <cell r="B141">
            <v>752.19550746232699</v>
          </cell>
        </row>
        <row r="142">
          <cell r="A142">
            <v>43677</v>
          </cell>
          <cell r="B142">
            <v>735.52868234569678</v>
          </cell>
        </row>
        <row r="143">
          <cell r="A143">
            <v>43678</v>
          </cell>
          <cell r="B143">
            <v>727.34580043018468</v>
          </cell>
        </row>
        <row r="144">
          <cell r="A144">
            <v>43679</v>
          </cell>
          <cell r="B144">
            <v>726.56980626964753</v>
          </cell>
        </row>
        <row r="145">
          <cell r="A145">
            <v>43682</v>
          </cell>
          <cell r="B145">
            <v>707.43348171514072</v>
          </cell>
        </row>
        <row r="146">
          <cell r="A146">
            <v>43683</v>
          </cell>
          <cell r="B146">
            <v>714.48878202199899</v>
          </cell>
        </row>
        <row r="147">
          <cell r="A147">
            <v>43684</v>
          </cell>
          <cell r="B147">
            <v>722.60083338119136</v>
          </cell>
        </row>
        <row r="148">
          <cell r="A148">
            <v>43685</v>
          </cell>
          <cell r="B148">
            <v>734.59199319148115</v>
          </cell>
        </row>
        <row r="149">
          <cell r="A149">
            <v>43686</v>
          </cell>
          <cell r="B149">
            <v>731.12145622163871</v>
          </cell>
        </row>
        <row r="150">
          <cell r="A150">
            <v>43689</v>
          </cell>
          <cell r="B150">
            <v>726.93685734914811</v>
          </cell>
        </row>
        <row r="151">
          <cell r="A151">
            <v>43690</v>
          </cell>
          <cell r="B151">
            <v>734.77287447155504</v>
          </cell>
        </row>
        <row r="152">
          <cell r="A152">
            <v>43691</v>
          </cell>
          <cell r="B152">
            <v>724.82727882150766</v>
          </cell>
        </row>
        <row r="153">
          <cell r="A153">
            <v>43692</v>
          </cell>
          <cell r="B153">
            <v>735.04062845507849</v>
          </cell>
        </row>
        <row r="154">
          <cell r="A154">
            <v>43693</v>
          </cell>
          <cell r="B154">
            <v>745.3090677107092</v>
          </cell>
        </row>
        <row r="155">
          <cell r="A155">
            <v>43696</v>
          </cell>
          <cell r="B155">
            <v>752.26370602900886</v>
          </cell>
        </row>
        <row r="156">
          <cell r="A156">
            <v>43697</v>
          </cell>
          <cell r="B156">
            <v>743.18816174858728</v>
          </cell>
        </row>
        <row r="157">
          <cell r="A157">
            <v>43698</v>
          </cell>
          <cell r="B157">
            <v>745.6120112700039</v>
          </cell>
        </row>
        <row r="158">
          <cell r="A158">
            <v>43699</v>
          </cell>
          <cell r="B158">
            <v>747.46865435650773</v>
          </cell>
        </row>
        <row r="159">
          <cell r="A159">
            <v>43700</v>
          </cell>
          <cell r="B159">
            <v>734.64562843258238</v>
          </cell>
        </row>
        <row r="160">
          <cell r="A160">
            <v>43703</v>
          </cell>
          <cell r="B160">
            <v>745.26430616163645</v>
          </cell>
        </row>
        <row r="161">
          <cell r="A161">
            <v>43704</v>
          </cell>
          <cell r="B161">
            <v>752.43071390788396</v>
          </cell>
        </row>
        <row r="162">
          <cell r="A162">
            <v>43705</v>
          </cell>
          <cell r="B162">
            <v>757.73436342902846</v>
          </cell>
        </row>
        <row r="163">
          <cell r="A163">
            <v>43706</v>
          </cell>
          <cell r="B163">
            <v>756.74430007049568</v>
          </cell>
        </row>
        <row r="164">
          <cell r="A164">
            <v>43707</v>
          </cell>
          <cell r="B164">
            <v>752.01440976529932</v>
          </cell>
        </row>
        <row r="165">
          <cell r="A165">
            <v>43711</v>
          </cell>
          <cell r="B165">
            <v>758.09160232434715</v>
          </cell>
        </row>
        <row r="166">
          <cell r="A166">
            <v>43712</v>
          </cell>
          <cell r="B166">
            <v>767.80519311357182</v>
          </cell>
        </row>
        <row r="167">
          <cell r="A167">
            <v>43713</v>
          </cell>
          <cell r="B167">
            <v>761.72940951975818</v>
          </cell>
        </row>
        <row r="168">
          <cell r="A168">
            <v>43714</v>
          </cell>
          <cell r="B168">
            <v>761.26837329277498</v>
          </cell>
        </row>
        <row r="169">
          <cell r="A169">
            <v>43717</v>
          </cell>
          <cell r="B169">
            <v>751.77647199253431</v>
          </cell>
        </row>
        <row r="170">
          <cell r="A170">
            <v>43718</v>
          </cell>
          <cell r="B170">
            <v>738.66890080234577</v>
          </cell>
        </row>
        <row r="171">
          <cell r="A171">
            <v>43719</v>
          </cell>
          <cell r="B171">
            <v>746.17811736431963</v>
          </cell>
        </row>
        <row r="172">
          <cell r="A172">
            <v>43720</v>
          </cell>
          <cell r="B172">
            <v>753.15823140033001</v>
          </cell>
        </row>
        <row r="173">
          <cell r="A173">
            <v>43721</v>
          </cell>
          <cell r="B173">
            <v>746.99907194804427</v>
          </cell>
        </row>
        <row r="174">
          <cell r="A174">
            <v>43724</v>
          </cell>
          <cell r="B174">
            <v>732.32207919887901</v>
          </cell>
        </row>
        <row r="175">
          <cell r="A175">
            <v>43725</v>
          </cell>
          <cell r="B175">
            <v>741.11333885187435</v>
          </cell>
        </row>
        <row r="176">
          <cell r="A176">
            <v>43726</v>
          </cell>
          <cell r="B176">
            <v>744.16640607519389</v>
          </cell>
        </row>
        <row r="177">
          <cell r="A177">
            <v>43727</v>
          </cell>
          <cell r="B177">
            <v>746.72409510672014</v>
          </cell>
        </row>
        <row r="178">
          <cell r="A178">
            <v>43728</v>
          </cell>
          <cell r="B178">
            <v>748.16168920980749</v>
          </cell>
        </row>
        <row r="179">
          <cell r="A179">
            <v>43731</v>
          </cell>
          <cell r="B179">
            <v>753.94561775259081</v>
          </cell>
        </row>
        <row r="180">
          <cell r="A180">
            <v>43732</v>
          </cell>
          <cell r="B180">
            <v>757.8948604827583</v>
          </cell>
        </row>
        <row r="181">
          <cell r="A181">
            <v>43733</v>
          </cell>
          <cell r="B181">
            <v>754.73928758407283</v>
          </cell>
        </row>
        <row r="182">
          <cell r="A182">
            <v>43734</v>
          </cell>
          <cell r="B182">
            <v>762.69664662209129</v>
          </cell>
        </row>
        <row r="183">
          <cell r="A183">
            <v>43735</v>
          </cell>
          <cell r="B183">
            <v>766.5176571615807</v>
          </cell>
        </row>
        <row r="184">
          <cell r="A184">
            <v>43738</v>
          </cell>
          <cell r="B184">
            <v>765.73673456708639</v>
          </cell>
        </row>
        <row r="185">
          <cell r="A185">
            <v>43739</v>
          </cell>
          <cell r="B185">
            <v>760.78112667128653</v>
          </cell>
        </row>
        <row r="186">
          <cell r="A186">
            <v>43740</v>
          </cell>
          <cell r="B186">
            <v>745.77599921789965</v>
          </cell>
        </row>
        <row r="187">
          <cell r="A187">
            <v>43741</v>
          </cell>
          <cell r="B187">
            <v>748.61118532051614</v>
          </cell>
        </row>
        <row r="188">
          <cell r="A188">
            <v>43742</v>
          </cell>
          <cell r="B188">
            <v>762.07712015266691</v>
          </cell>
        </row>
        <row r="189">
          <cell r="A189">
            <v>43745</v>
          </cell>
          <cell r="B189">
            <v>755.74353321897411</v>
          </cell>
        </row>
        <row r="190">
          <cell r="A190">
            <v>43746</v>
          </cell>
          <cell r="B190">
            <v>744.27857333323504</v>
          </cell>
        </row>
        <row r="191">
          <cell r="A191">
            <v>43747</v>
          </cell>
          <cell r="B191">
            <v>748.87737950152246</v>
          </cell>
        </row>
        <row r="192">
          <cell r="A192">
            <v>43748</v>
          </cell>
          <cell r="B192">
            <v>749.23405779574114</v>
          </cell>
        </row>
        <row r="193">
          <cell r="A193">
            <v>43749</v>
          </cell>
          <cell r="B193">
            <v>744.45654546980302</v>
          </cell>
        </row>
        <row r="194">
          <cell r="A194">
            <v>43752</v>
          </cell>
          <cell r="B194">
            <v>736.61781959897496</v>
          </cell>
        </row>
        <row r="195">
          <cell r="A195">
            <v>43753</v>
          </cell>
          <cell r="B195">
            <v>722.15796807312552</v>
          </cell>
        </row>
        <row r="196">
          <cell r="A196">
            <v>43754</v>
          </cell>
          <cell r="B196">
            <v>723.36127228805969</v>
          </cell>
        </row>
        <row r="197">
          <cell r="A197">
            <v>43755</v>
          </cell>
          <cell r="B197">
            <v>720.97535486657046</v>
          </cell>
        </row>
        <row r="198">
          <cell r="A198">
            <v>43756</v>
          </cell>
          <cell r="B198">
            <v>725.42738693736123</v>
          </cell>
        </row>
        <row r="199">
          <cell r="A199">
            <v>43759</v>
          </cell>
          <cell r="B199">
            <v>733.42282263792129</v>
          </cell>
        </row>
        <row r="200">
          <cell r="A200">
            <v>43760</v>
          </cell>
          <cell r="B200">
            <v>738.9997838491164</v>
          </cell>
        </row>
        <row r="201">
          <cell r="A201">
            <v>43761</v>
          </cell>
          <cell r="B201">
            <v>746.63852063894137</v>
          </cell>
        </row>
        <row r="202">
          <cell r="A202">
            <v>43762</v>
          </cell>
          <cell r="B202">
            <v>756.12691581618662</v>
          </cell>
        </row>
        <row r="203">
          <cell r="A203">
            <v>43763</v>
          </cell>
          <cell r="B203">
            <v>749.03858851633868</v>
          </cell>
        </row>
        <row r="204">
          <cell r="A204">
            <v>43766</v>
          </cell>
          <cell r="B204">
            <v>746.90666450115066</v>
          </cell>
        </row>
        <row r="205">
          <cell r="A205">
            <v>43767</v>
          </cell>
          <cell r="B205">
            <v>748.16054767611479</v>
          </cell>
        </row>
        <row r="206">
          <cell r="A206">
            <v>43768</v>
          </cell>
          <cell r="B206">
            <v>756.09227712804773</v>
          </cell>
        </row>
        <row r="207">
          <cell r="A207">
            <v>43769</v>
          </cell>
          <cell r="B207">
            <v>750.98622085951831</v>
          </cell>
        </row>
        <row r="208">
          <cell r="A208">
            <v>43770</v>
          </cell>
          <cell r="B208">
            <v>744.68164108207998</v>
          </cell>
        </row>
        <row r="209">
          <cell r="A209">
            <v>43773</v>
          </cell>
          <cell r="B209">
            <v>720.41944171362718</v>
          </cell>
        </row>
        <row r="210">
          <cell r="A210">
            <v>43774</v>
          </cell>
          <cell r="B210">
            <v>721.3971315974203</v>
          </cell>
        </row>
        <row r="211">
          <cell r="A211">
            <v>43775</v>
          </cell>
          <cell r="B211">
            <v>729.14087410350066</v>
          </cell>
        </row>
        <row r="212">
          <cell r="A212">
            <v>43776</v>
          </cell>
          <cell r="B212">
            <v>726.28047252270039</v>
          </cell>
        </row>
        <row r="213">
          <cell r="A213">
            <v>43777</v>
          </cell>
          <cell r="B213">
            <v>726.4642499114691</v>
          </cell>
        </row>
        <row r="214">
          <cell r="A214">
            <v>43780</v>
          </cell>
          <cell r="B214">
            <v>724.39450351576795</v>
          </cell>
        </row>
        <row r="215">
          <cell r="A215">
            <v>43781</v>
          </cell>
          <cell r="B215">
            <v>723.85880418440365</v>
          </cell>
        </row>
        <row r="216">
          <cell r="A216">
            <v>43782</v>
          </cell>
          <cell r="B216">
            <v>731.49521796961062</v>
          </cell>
        </row>
        <row r="217">
          <cell r="A217">
            <v>43783</v>
          </cell>
          <cell r="B217">
            <v>730.15767717385802</v>
          </cell>
        </row>
        <row r="218">
          <cell r="A218">
            <v>43784</v>
          </cell>
          <cell r="B218">
            <v>729.02890409143367</v>
          </cell>
        </row>
        <row r="219">
          <cell r="A219">
            <v>43787</v>
          </cell>
          <cell r="B219">
            <v>736.59668894878121</v>
          </cell>
        </row>
        <row r="220">
          <cell r="A220">
            <v>43788</v>
          </cell>
          <cell r="B220">
            <v>735.44763378267794</v>
          </cell>
        </row>
        <row r="221">
          <cell r="A221">
            <v>43789</v>
          </cell>
          <cell r="B221">
            <v>740.37823970832756</v>
          </cell>
        </row>
        <row r="222">
          <cell r="A222">
            <v>43790</v>
          </cell>
          <cell r="B222">
            <v>730.32657761124597</v>
          </cell>
        </row>
        <row r="223">
          <cell r="A223">
            <v>43791</v>
          </cell>
          <cell r="B223">
            <v>730.36865901134581</v>
          </cell>
        </row>
        <row r="224">
          <cell r="A224">
            <v>43794</v>
          </cell>
          <cell r="B224">
            <v>731.33374898068791</v>
          </cell>
        </row>
        <row r="225">
          <cell r="A225">
            <v>43795</v>
          </cell>
          <cell r="B225">
            <v>741.36729130284732</v>
          </cell>
        </row>
        <row r="226">
          <cell r="A226">
            <v>43796</v>
          </cell>
          <cell r="B226">
            <v>740.54417889295382</v>
          </cell>
        </row>
        <row r="227">
          <cell r="A227">
            <v>43798</v>
          </cell>
          <cell r="B227">
            <v>741.90276968363219</v>
          </cell>
        </row>
        <row r="228">
          <cell r="A228">
            <v>43801</v>
          </cell>
          <cell r="B228">
            <v>744.23726439629615</v>
          </cell>
        </row>
        <row r="229">
          <cell r="A229">
            <v>43802</v>
          </cell>
          <cell r="B229">
            <v>744.16630532030388</v>
          </cell>
        </row>
        <row r="230">
          <cell r="A230">
            <v>43803</v>
          </cell>
          <cell r="B230">
            <v>753.59153944862999</v>
          </cell>
        </row>
        <row r="231">
          <cell r="A231">
            <v>43804</v>
          </cell>
          <cell r="B231">
            <v>752.97862019894558</v>
          </cell>
        </row>
        <row r="232">
          <cell r="A232">
            <v>43805</v>
          </cell>
          <cell r="B232">
            <v>752.48542732343492</v>
          </cell>
        </row>
        <row r="233">
          <cell r="A233">
            <v>43808</v>
          </cell>
          <cell r="B233">
            <v>756.05268702048852</v>
          </cell>
        </row>
        <row r="234">
          <cell r="A234">
            <v>43809</v>
          </cell>
          <cell r="B234">
            <v>751.63402553102628</v>
          </cell>
        </row>
        <row r="235">
          <cell r="A235">
            <v>43810</v>
          </cell>
          <cell r="B235">
            <v>752.98941986455918</v>
          </cell>
        </row>
        <row r="236">
          <cell r="A236">
            <v>43811</v>
          </cell>
          <cell r="B236">
            <v>751.81575116939212</v>
          </cell>
        </row>
        <row r="237">
          <cell r="A237">
            <v>43812</v>
          </cell>
          <cell r="B237">
            <v>757.71371818714772</v>
          </cell>
        </row>
        <row r="238">
          <cell r="A238">
            <v>43815</v>
          </cell>
          <cell r="B238">
            <v>757.81364385087466</v>
          </cell>
        </row>
        <row r="239">
          <cell r="A239">
            <v>43816</v>
          </cell>
          <cell r="B239">
            <v>754.56797265523676</v>
          </cell>
        </row>
        <row r="240">
          <cell r="A240">
            <v>43817</v>
          </cell>
          <cell r="B240">
            <v>749.65692286601654</v>
          </cell>
        </row>
        <row r="241">
          <cell r="A241">
            <v>43818</v>
          </cell>
          <cell r="B241">
            <v>755.13440842170235</v>
          </cell>
        </row>
        <row r="242">
          <cell r="A242">
            <v>43819</v>
          </cell>
          <cell r="B242">
            <v>758.97536694433677</v>
          </cell>
        </row>
        <row r="243">
          <cell r="A243">
            <v>43822</v>
          </cell>
          <cell r="B243">
            <v>756.17544847022589</v>
          </cell>
        </row>
        <row r="244">
          <cell r="A244">
            <v>43823</v>
          </cell>
          <cell r="B244">
            <v>757.52241661659082</v>
          </cell>
        </row>
        <row r="245">
          <cell r="A245">
            <v>43825</v>
          </cell>
          <cell r="B245">
            <v>757.66968208989897</v>
          </cell>
        </row>
        <row r="246">
          <cell r="A246">
            <v>43826</v>
          </cell>
          <cell r="B246">
            <v>762.88156824151645</v>
          </cell>
        </row>
        <row r="247">
          <cell r="A247">
            <v>43829</v>
          </cell>
          <cell r="B247">
            <v>754.63710215170011</v>
          </cell>
        </row>
        <row r="248">
          <cell r="A248">
            <v>43830</v>
          </cell>
          <cell r="B248">
            <v>757.0070334477922</v>
          </cell>
        </row>
        <row r="249">
          <cell r="A249">
            <v>43832</v>
          </cell>
          <cell r="B249">
            <v>748.48075850820135</v>
          </cell>
        </row>
        <row r="250">
          <cell r="A250">
            <v>43833</v>
          </cell>
          <cell r="B250">
            <v>745.02586906771717</v>
          </cell>
        </row>
        <row r="251">
          <cell r="A251">
            <v>43836</v>
          </cell>
          <cell r="B251">
            <v>746.78202294735206</v>
          </cell>
        </row>
        <row r="252">
          <cell r="A252">
            <v>43837</v>
          </cell>
          <cell r="B252">
            <v>741.54633482751399</v>
          </cell>
        </row>
        <row r="253">
          <cell r="A253">
            <v>43838</v>
          </cell>
          <cell r="B253">
            <v>746.75563009527013</v>
          </cell>
        </row>
        <row r="254">
          <cell r="A254">
            <v>43839</v>
          </cell>
          <cell r="B254">
            <v>754.79479009948614</v>
          </cell>
        </row>
        <row r="255">
          <cell r="A255">
            <v>43840</v>
          </cell>
          <cell r="B255">
            <v>756.47301759395509</v>
          </cell>
        </row>
        <row r="256">
          <cell r="A256">
            <v>43843</v>
          </cell>
          <cell r="B256">
            <v>761.44798286961668</v>
          </cell>
        </row>
        <row r="257">
          <cell r="A257">
            <v>43844</v>
          </cell>
          <cell r="B257">
            <v>761.07753156514241</v>
          </cell>
        </row>
        <row r="258">
          <cell r="A258">
            <v>43845</v>
          </cell>
          <cell r="B258">
            <v>768.11562428687284</v>
          </cell>
        </row>
        <row r="259">
          <cell r="A259">
            <v>43846</v>
          </cell>
          <cell r="B259">
            <v>769.2578977400899</v>
          </cell>
        </row>
        <row r="260">
          <cell r="A260">
            <v>43847</v>
          </cell>
          <cell r="B260">
            <v>772.14699838775573</v>
          </cell>
        </row>
        <row r="261">
          <cell r="A261">
            <v>43851</v>
          </cell>
          <cell r="B261">
            <v>771.52279259625027</v>
          </cell>
        </row>
        <row r="262">
          <cell r="A262">
            <v>43852</v>
          </cell>
          <cell r="B262">
            <v>771.23364468681837</v>
          </cell>
        </row>
        <row r="263">
          <cell r="A263">
            <v>43853</v>
          </cell>
          <cell r="B263">
            <v>765.38521430061792</v>
          </cell>
        </row>
        <row r="264">
          <cell r="A264">
            <v>43854</v>
          </cell>
          <cell r="B264">
            <v>764.83278099922154</v>
          </cell>
        </row>
        <row r="265">
          <cell r="A265">
            <v>43857</v>
          </cell>
          <cell r="B265">
            <v>767.93096094734244</v>
          </cell>
        </row>
        <row r="266">
          <cell r="A266">
            <v>43858</v>
          </cell>
          <cell r="B266">
            <v>768.35751404329937</v>
          </cell>
        </row>
        <row r="267">
          <cell r="A267">
            <v>43859</v>
          </cell>
          <cell r="B267">
            <v>762.2009225258322</v>
          </cell>
        </row>
        <row r="268">
          <cell r="A268">
            <v>43860</v>
          </cell>
          <cell r="B268">
            <v>767.80050153244531</v>
          </cell>
        </row>
        <row r="269">
          <cell r="A269">
            <v>43861</v>
          </cell>
          <cell r="B269">
            <v>768.52715107984716</v>
          </cell>
        </row>
        <row r="270">
          <cell r="A270">
            <v>43864</v>
          </cell>
          <cell r="B270">
            <v>772.57187900532415</v>
          </cell>
        </row>
        <row r="271">
          <cell r="A271">
            <v>43865</v>
          </cell>
          <cell r="B271">
            <v>776.77711810158132</v>
          </cell>
        </row>
        <row r="272">
          <cell r="A272">
            <v>43866</v>
          </cell>
          <cell r="B272">
            <v>783.15793953450668</v>
          </cell>
        </row>
        <row r="273">
          <cell r="A273">
            <v>43867</v>
          </cell>
          <cell r="B273">
            <v>784.87047484640266</v>
          </cell>
        </row>
        <row r="274">
          <cell r="A274">
            <v>43868</v>
          </cell>
          <cell r="B274">
            <v>780.68948262805372</v>
          </cell>
        </row>
        <row r="275">
          <cell r="A275">
            <v>43871</v>
          </cell>
          <cell r="B275">
            <v>784.47624364250839</v>
          </cell>
        </row>
        <row r="276">
          <cell r="A276">
            <v>43872</v>
          </cell>
          <cell r="B276">
            <v>772.87960782812183</v>
          </cell>
        </row>
        <row r="277">
          <cell r="A277">
            <v>43873</v>
          </cell>
          <cell r="B277">
            <v>769.40846866635536</v>
          </cell>
        </row>
        <row r="278">
          <cell r="A278">
            <v>43874</v>
          </cell>
          <cell r="B278">
            <v>776.67161264963147</v>
          </cell>
        </row>
        <row r="279">
          <cell r="A279">
            <v>43875</v>
          </cell>
          <cell r="B279">
            <v>782.80523701293453</v>
          </cell>
        </row>
        <row r="280">
          <cell r="A280">
            <v>43879</v>
          </cell>
          <cell r="B280">
            <v>775.541030543587</v>
          </cell>
        </row>
        <row r="281">
          <cell r="A281">
            <v>43880</v>
          </cell>
          <cell r="B281">
            <v>776.96609237462826</v>
          </cell>
        </row>
        <row r="282">
          <cell r="A282">
            <v>43881</v>
          </cell>
          <cell r="B282">
            <v>780.32434278717653</v>
          </cell>
        </row>
        <row r="283">
          <cell r="A283">
            <v>43882</v>
          </cell>
          <cell r="B283">
            <v>782.16132436585588</v>
          </cell>
        </row>
        <row r="284">
          <cell r="A284">
            <v>43885</v>
          </cell>
          <cell r="B284">
            <v>764.76622044641897</v>
          </cell>
        </row>
        <row r="285">
          <cell r="A285">
            <v>43886</v>
          </cell>
          <cell r="B285">
            <v>755.2872804046375</v>
          </cell>
        </row>
        <row r="286">
          <cell r="A286">
            <v>43887</v>
          </cell>
          <cell r="B286">
            <v>748.24234518793207</v>
          </cell>
        </row>
        <row r="287">
          <cell r="A287">
            <v>43888</v>
          </cell>
          <cell r="B287">
            <v>713.26176032370438</v>
          </cell>
        </row>
        <row r="288">
          <cell r="A288">
            <v>43889</v>
          </cell>
          <cell r="B288">
            <v>703.94398566596283</v>
          </cell>
        </row>
        <row r="289">
          <cell r="A289">
            <v>43892</v>
          </cell>
          <cell r="B289">
            <v>747.73473897113331</v>
          </cell>
        </row>
        <row r="290">
          <cell r="A290">
            <v>43893</v>
          </cell>
          <cell r="B290">
            <v>739.19364008145988</v>
          </cell>
        </row>
        <row r="291">
          <cell r="A291">
            <v>43894</v>
          </cell>
          <cell r="B291">
            <v>777.2645888046909</v>
          </cell>
        </row>
        <row r="292">
          <cell r="A292">
            <v>43895</v>
          </cell>
          <cell r="B292">
            <v>758.29108866073125</v>
          </cell>
        </row>
        <row r="293">
          <cell r="A293">
            <v>43896</v>
          </cell>
          <cell r="B293">
            <v>759.77357746139455</v>
          </cell>
        </row>
        <row r="294">
          <cell r="A294">
            <v>43899</v>
          </cell>
          <cell r="B294">
            <v>728.69027203163853</v>
          </cell>
        </row>
        <row r="295">
          <cell r="A295">
            <v>43900</v>
          </cell>
          <cell r="B295">
            <v>750.63391142603552</v>
          </cell>
        </row>
        <row r="296">
          <cell r="A296">
            <v>43901</v>
          </cell>
          <cell r="B296">
            <v>702.35762290444143</v>
          </cell>
        </row>
        <row r="297">
          <cell r="A297">
            <v>43902</v>
          </cell>
          <cell r="B297">
            <v>643.61760858293792</v>
          </cell>
        </row>
        <row r="298">
          <cell r="A298">
            <v>43903</v>
          </cell>
          <cell r="B298">
            <v>710.52823055244562</v>
          </cell>
        </row>
        <row r="299">
          <cell r="A299">
            <v>43906</v>
          </cell>
          <cell r="B299">
            <v>678.29872732333752</v>
          </cell>
        </row>
        <row r="300">
          <cell r="A300">
            <v>43907</v>
          </cell>
          <cell r="B300">
            <v>743.59203087137018</v>
          </cell>
        </row>
        <row r="301">
          <cell r="A301">
            <v>43908</v>
          </cell>
          <cell r="B301">
            <v>730.00109226598011</v>
          </cell>
        </row>
        <row r="302">
          <cell r="A302">
            <v>43909</v>
          </cell>
          <cell r="B302">
            <v>695.53817532481082</v>
          </cell>
        </row>
        <row r="303">
          <cell r="A303">
            <v>43910</v>
          </cell>
          <cell r="B303">
            <v>646.05074059028277</v>
          </cell>
        </row>
        <row r="304">
          <cell r="A304">
            <v>43913</v>
          </cell>
          <cell r="B304">
            <v>617.18036097482457</v>
          </cell>
        </row>
        <row r="305">
          <cell r="A305">
            <v>43914</v>
          </cell>
          <cell r="B305">
            <v>644.61587491124908</v>
          </cell>
        </row>
        <row r="306">
          <cell r="A306">
            <v>43915</v>
          </cell>
          <cell r="B306">
            <v>630.86324515431272</v>
          </cell>
        </row>
        <row r="307">
          <cell r="A307">
            <v>43916</v>
          </cell>
          <cell r="B307">
            <v>670.32325559418643</v>
          </cell>
        </row>
        <row r="308">
          <cell r="A308">
            <v>43917</v>
          </cell>
          <cell r="B308">
            <v>684.11686354688175</v>
          </cell>
        </row>
        <row r="309">
          <cell r="A309">
            <v>43920</v>
          </cell>
          <cell r="B309">
            <v>711.81955533498922</v>
          </cell>
        </row>
        <row r="310">
          <cell r="A310">
            <v>43921</v>
          </cell>
          <cell r="B310">
            <v>687.60091850755362</v>
          </cell>
        </row>
        <row r="311">
          <cell r="A311">
            <v>43922</v>
          </cell>
          <cell r="B311">
            <v>682.53550458587426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4:B311"/>
  <sheetViews>
    <sheetView topLeftCell="A289" zoomScaleNormal="100" workbookViewId="0">
      <selection activeCell="B35" sqref="B35"/>
    </sheetView>
  </sheetViews>
  <sheetFormatPr baseColWidth="10" defaultRowHeight="13" x14ac:dyDescent="0.15"/>
  <cols>
    <col min="1" max="1" width="11.5" bestFit="1" customWidth="1"/>
    <col min="2" max="2" width="47.83203125" bestFit="1" customWidth="1"/>
    <col min="3" max="256" width="8.83203125" customWidth="1"/>
  </cols>
  <sheetData>
    <row r="34" spans="1:2" x14ac:dyDescent="0.15">
      <c r="A34" t="s">
        <v>4</v>
      </c>
      <c r="B34" s="3">
        <f>AVERAGE(B37:B288)</f>
        <v>133.94563492063492</v>
      </c>
    </row>
    <row r="35" spans="1:2" x14ac:dyDescent="0.15">
      <c r="A35" t="s">
        <v>5</v>
      </c>
      <c r="B35" s="3">
        <f>STDEV(B37:B288)</f>
        <v>7.1191947478783026</v>
      </c>
    </row>
    <row r="36" spans="1:2" x14ac:dyDescent="0.15">
      <c r="A36" t="s">
        <v>0</v>
      </c>
      <c r="B36" t="s">
        <v>1</v>
      </c>
    </row>
    <row r="37" spans="1:2" x14ac:dyDescent="0.15">
      <c r="A37" s="1">
        <v>43525</v>
      </c>
      <c r="B37" s="2">
        <v>115.68</v>
      </c>
    </row>
    <row r="38" spans="1:2" x14ac:dyDescent="0.15">
      <c r="A38" s="1">
        <v>43528</v>
      </c>
      <c r="B38" s="2">
        <v>116.44</v>
      </c>
    </row>
    <row r="39" spans="1:2" x14ac:dyDescent="0.15">
      <c r="A39" s="1">
        <v>43529</v>
      </c>
      <c r="B39" s="2">
        <v>116.68</v>
      </c>
    </row>
    <row r="40" spans="1:2" x14ac:dyDescent="0.15">
      <c r="A40" s="1">
        <v>43530</v>
      </c>
      <c r="B40" s="2">
        <v>116.13</v>
      </c>
    </row>
    <row r="41" spans="1:2" x14ac:dyDescent="0.15">
      <c r="A41" s="1">
        <v>43531</v>
      </c>
      <c r="B41" s="2">
        <v>115.18</v>
      </c>
    </row>
    <row r="42" spans="1:2" x14ac:dyDescent="0.15">
      <c r="A42" s="1">
        <v>43532</v>
      </c>
      <c r="B42" s="2">
        <v>115.88</v>
      </c>
    </row>
    <row r="43" spans="1:2" x14ac:dyDescent="0.15">
      <c r="A43" s="1">
        <v>43535</v>
      </c>
      <c r="B43" s="2">
        <v>117.59</v>
      </c>
    </row>
    <row r="44" spans="1:2" x14ac:dyDescent="0.15">
      <c r="A44" s="1">
        <v>43536</v>
      </c>
      <c r="B44" s="2">
        <v>117.78</v>
      </c>
    </row>
    <row r="45" spans="1:2" x14ac:dyDescent="0.15">
      <c r="A45" s="1">
        <v>43537</v>
      </c>
      <c r="B45" s="2">
        <v>118.47</v>
      </c>
    </row>
    <row r="46" spans="1:2" x14ac:dyDescent="0.15">
      <c r="A46" s="1">
        <v>43538</v>
      </c>
      <c r="B46" s="2">
        <v>118.45</v>
      </c>
    </row>
    <row r="47" spans="1:2" x14ac:dyDescent="0.15">
      <c r="A47" s="1">
        <v>43539</v>
      </c>
      <c r="B47" s="2">
        <v>120.19</v>
      </c>
    </row>
    <row r="48" spans="1:2" x14ac:dyDescent="0.15">
      <c r="A48" s="1">
        <v>43542</v>
      </c>
      <c r="B48" s="2">
        <v>119.57</v>
      </c>
    </row>
    <row r="49" spans="1:2" x14ac:dyDescent="0.15">
      <c r="A49" s="1">
        <v>43543</v>
      </c>
      <c r="B49" s="2">
        <v>119.94</v>
      </c>
    </row>
    <row r="50" spans="1:2" x14ac:dyDescent="0.15">
      <c r="A50" s="1">
        <v>43544</v>
      </c>
      <c r="B50" s="2">
        <v>119.57</v>
      </c>
    </row>
    <row r="51" spans="1:2" x14ac:dyDescent="0.15">
      <c r="A51" s="1">
        <v>43545</v>
      </c>
      <c r="B51" s="2">
        <v>121.46</v>
      </c>
    </row>
    <row r="52" spans="1:2" x14ac:dyDescent="0.15">
      <c r="A52" s="1">
        <v>43546</v>
      </c>
      <c r="B52" s="2">
        <v>122.05</v>
      </c>
    </row>
    <row r="53" spans="1:2" x14ac:dyDescent="0.15">
      <c r="A53" s="1">
        <v>43549</v>
      </c>
      <c r="B53" s="2">
        <v>121.91</v>
      </c>
    </row>
    <row r="54" spans="1:2" x14ac:dyDescent="0.15">
      <c r="A54" s="1">
        <v>43550</v>
      </c>
      <c r="B54" s="2">
        <v>123.08</v>
      </c>
    </row>
    <row r="55" spans="1:2" x14ac:dyDescent="0.15">
      <c r="A55" s="1">
        <v>43551</v>
      </c>
      <c r="B55" s="2">
        <v>123.35</v>
      </c>
    </row>
    <row r="56" spans="1:2" x14ac:dyDescent="0.15">
      <c r="A56" s="1">
        <v>43552</v>
      </c>
      <c r="B56" s="2">
        <v>123.89</v>
      </c>
    </row>
    <row r="57" spans="1:2" x14ac:dyDescent="0.15">
      <c r="A57" s="1">
        <v>43553</v>
      </c>
      <c r="B57" s="2">
        <v>123.9</v>
      </c>
    </row>
    <row r="58" spans="1:2" x14ac:dyDescent="0.15">
      <c r="A58" s="1">
        <v>43556</v>
      </c>
      <c r="B58" s="2">
        <v>122.77</v>
      </c>
    </row>
    <row r="59" spans="1:2" x14ac:dyDescent="0.15">
      <c r="A59" s="1">
        <v>43557</v>
      </c>
      <c r="B59" s="2">
        <v>122.65</v>
      </c>
    </row>
    <row r="60" spans="1:2" x14ac:dyDescent="0.15">
      <c r="A60" s="1">
        <v>43558</v>
      </c>
      <c r="B60" s="2">
        <v>121.77</v>
      </c>
    </row>
    <row r="61" spans="1:2" x14ac:dyDescent="0.15">
      <c r="A61" s="1">
        <v>43559</v>
      </c>
      <c r="B61" s="2">
        <v>121.99</v>
      </c>
    </row>
    <row r="62" spans="1:2" x14ac:dyDescent="0.15">
      <c r="A62" s="1">
        <v>43560</v>
      </c>
      <c r="B62" s="2">
        <v>121.92</v>
      </c>
    </row>
    <row r="63" spans="1:2" x14ac:dyDescent="0.15">
      <c r="A63" s="1">
        <v>43563</v>
      </c>
      <c r="B63" s="2">
        <v>121.64</v>
      </c>
    </row>
    <row r="64" spans="1:2" x14ac:dyDescent="0.15">
      <c r="A64" s="1">
        <v>43564</v>
      </c>
      <c r="B64" s="2">
        <v>121.34</v>
      </c>
    </row>
    <row r="65" spans="1:2" x14ac:dyDescent="0.15">
      <c r="A65" s="1">
        <v>43565</v>
      </c>
      <c r="B65" s="2">
        <v>121.66</v>
      </c>
    </row>
    <row r="66" spans="1:2" x14ac:dyDescent="0.15">
      <c r="A66" s="1">
        <v>43566</v>
      </c>
      <c r="B66" s="2">
        <v>122.57</v>
      </c>
    </row>
    <row r="67" spans="1:2" x14ac:dyDescent="0.15">
      <c r="A67" s="1">
        <v>43567</v>
      </c>
      <c r="B67" s="2">
        <v>123.18</v>
      </c>
    </row>
    <row r="68" spans="1:2" x14ac:dyDescent="0.15">
      <c r="A68" s="1">
        <v>43570</v>
      </c>
      <c r="B68" s="2">
        <v>123</v>
      </c>
    </row>
    <row r="69" spans="1:2" x14ac:dyDescent="0.15">
      <c r="A69" s="1">
        <v>43571</v>
      </c>
      <c r="B69" s="2">
        <v>123.32</v>
      </c>
    </row>
    <row r="70" spans="1:2" x14ac:dyDescent="0.15">
      <c r="A70" s="1">
        <v>43572</v>
      </c>
      <c r="B70" s="2">
        <v>123.45</v>
      </c>
    </row>
    <row r="71" spans="1:2" x14ac:dyDescent="0.15">
      <c r="A71" s="1">
        <v>43573</v>
      </c>
      <c r="B71" s="2">
        <v>123.55</v>
      </c>
    </row>
    <row r="72" spans="1:2" x14ac:dyDescent="0.15">
      <c r="A72" s="1">
        <v>43577</v>
      </c>
      <c r="B72" s="2">
        <v>130.25</v>
      </c>
    </row>
    <row r="73" spans="1:2" x14ac:dyDescent="0.15">
      <c r="A73" s="1">
        <v>43578</v>
      </c>
      <c r="B73" s="2">
        <v>125.62</v>
      </c>
    </row>
    <row r="74" spans="1:2" x14ac:dyDescent="0.15">
      <c r="A74" s="1">
        <v>43579</v>
      </c>
      <c r="B74" s="2">
        <v>124.4</v>
      </c>
    </row>
    <row r="75" spans="1:2" x14ac:dyDescent="0.15">
      <c r="A75" s="1">
        <v>43580</v>
      </c>
      <c r="B75" s="2">
        <v>124.01</v>
      </c>
    </row>
    <row r="76" spans="1:2" x14ac:dyDescent="0.15">
      <c r="A76" s="1">
        <v>43581</v>
      </c>
      <c r="B76" s="2">
        <v>125.74</v>
      </c>
    </row>
    <row r="77" spans="1:2" x14ac:dyDescent="0.15">
      <c r="A77" s="1">
        <v>43584</v>
      </c>
      <c r="B77" s="2">
        <v>125.25</v>
      </c>
    </row>
    <row r="78" spans="1:2" x14ac:dyDescent="0.15">
      <c r="A78" s="1">
        <v>43585</v>
      </c>
      <c r="B78" s="2">
        <v>128.38</v>
      </c>
    </row>
    <row r="79" spans="1:2" x14ac:dyDescent="0.15">
      <c r="A79" s="1">
        <v>43586</v>
      </c>
      <c r="B79" s="2">
        <v>125.47</v>
      </c>
    </row>
    <row r="80" spans="1:2" x14ac:dyDescent="0.15">
      <c r="A80" s="1">
        <v>43587</v>
      </c>
      <c r="B80" s="2">
        <v>127.26</v>
      </c>
    </row>
    <row r="81" spans="1:2" x14ac:dyDescent="0.15">
      <c r="A81" s="1">
        <v>43588</v>
      </c>
      <c r="B81" s="2">
        <v>127.5</v>
      </c>
    </row>
    <row r="82" spans="1:2" x14ac:dyDescent="0.15">
      <c r="A82" s="1">
        <v>43591</v>
      </c>
      <c r="B82" s="2">
        <v>127.9</v>
      </c>
    </row>
    <row r="83" spans="1:2" x14ac:dyDescent="0.15">
      <c r="A83" s="1">
        <v>43592</v>
      </c>
      <c r="B83" s="2">
        <v>126.18</v>
      </c>
    </row>
    <row r="84" spans="1:2" x14ac:dyDescent="0.15">
      <c r="A84" s="1">
        <v>43593</v>
      </c>
      <c r="B84" s="2">
        <v>126.89</v>
      </c>
    </row>
    <row r="85" spans="1:2" x14ac:dyDescent="0.15">
      <c r="A85" s="1">
        <v>43594</v>
      </c>
      <c r="B85" s="2">
        <v>126.4</v>
      </c>
    </row>
    <row r="86" spans="1:2" x14ac:dyDescent="0.15">
      <c r="A86" s="1">
        <v>43595</v>
      </c>
      <c r="B86" s="2">
        <v>127.44</v>
      </c>
    </row>
    <row r="87" spans="1:2" x14ac:dyDescent="0.15">
      <c r="A87" s="1">
        <v>43598</v>
      </c>
      <c r="B87" s="2">
        <v>128.02000000000001</v>
      </c>
    </row>
    <row r="88" spans="1:2" x14ac:dyDescent="0.15">
      <c r="A88" s="1">
        <v>43599</v>
      </c>
      <c r="B88" s="2">
        <v>127.55</v>
      </c>
    </row>
    <row r="89" spans="1:2" x14ac:dyDescent="0.15">
      <c r="A89" s="1">
        <v>43600</v>
      </c>
      <c r="B89" s="2">
        <v>128.66999999999999</v>
      </c>
    </row>
    <row r="90" spans="1:2" x14ac:dyDescent="0.15">
      <c r="A90" s="1">
        <v>43601</v>
      </c>
      <c r="B90" s="2">
        <v>128.72</v>
      </c>
    </row>
    <row r="91" spans="1:2" x14ac:dyDescent="0.15">
      <c r="A91" s="1">
        <v>43602</v>
      </c>
      <c r="B91" s="2">
        <v>128.93</v>
      </c>
    </row>
    <row r="92" spans="1:2" x14ac:dyDescent="0.15">
      <c r="A92" s="1">
        <v>43605</v>
      </c>
      <c r="B92" s="2">
        <v>130.11000000000001</v>
      </c>
    </row>
    <row r="93" spans="1:2" x14ac:dyDescent="0.15">
      <c r="A93" s="1">
        <v>43606</v>
      </c>
      <c r="B93" s="2">
        <v>130.08000000000001</v>
      </c>
    </row>
    <row r="94" spans="1:2" x14ac:dyDescent="0.15">
      <c r="A94" s="1">
        <v>43607</v>
      </c>
      <c r="B94" s="2">
        <v>130.97999999999999</v>
      </c>
    </row>
    <row r="95" spans="1:2" x14ac:dyDescent="0.15">
      <c r="A95" s="1">
        <v>43608</v>
      </c>
      <c r="B95" s="2">
        <v>130.91</v>
      </c>
    </row>
    <row r="96" spans="1:2" x14ac:dyDescent="0.15">
      <c r="A96" s="1">
        <v>43609</v>
      </c>
      <c r="B96" s="2">
        <v>130.63</v>
      </c>
    </row>
    <row r="97" spans="1:2" x14ac:dyDescent="0.15">
      <c r="A97" s="1">
        <v>43613</v>
      </c>
      <c r="B97" s="2">
        <v>128.62</v>
      </c>
    </row>
    <row r="98" spans="1:2" x14ac:dyDescent="0.15">
      <c r="A98" s="1">
        <v>43614</v>
      </c>
      <c r="B98" s="2">
        <v>128.41999999999999</v>
      </c>
    </row>
    <row r="99" spans="1:2" x14ac:dyDescent="0.15">
      <c r="A99" s="1">
        <v>43615</v>
      </c>
      <c r="B99" s="2">
        <v>130.22</v>
      </c>
    </row>
    <row r="100" spans="1:2" x14ac:dyDescent="0.15">
      <c r="A100" s="1">
        <v>43616</v>
      </c>
      <c r="B100" s="2">
        <v>127.89</v>
      </c>
    </row>
    <row r="101" spans="1:2" x14ac:dyDescent="0.15">
      <c r="A101" s="1">
        <v>43619</v>
      </c>
      <c r="B101" s="2">
        <v>131.03</v>
      </c>
    </row>
    <row r="102" spans="1:2" x14ac:dyDescent="0.15">
      <c r="A102" s="1">
        <v>43620</v>
      </c>
      <c r="B102" s="2">
        <v>131.43</v>
      </c>
    </row>
    <row r="103" spans="1:2" x14ac:dyDescent="0.15">
      <c r="A103" s="1">
        <v>43621</v>
      </c>
      <c r="B103" s="2">
        <v>133.5</v>
      </c>
    </row>
    <row r="104" spans="1:2" x14ac:dyDescent="0.15">
      <c r="A104" s="1">
        <v>43622</v>
      </c>
      <c r="B104" s="2">
        <v>133.58000000000001</v>
      </c>
    </row>
    <row r="105" spans="1:2" x14ac:dyDescent="0.15">
      <c r="A105" s="1">
        <v>43623</v>
      </c>
      <c r="B105" s="2">
        <v>134.91</v>
      </c>
    </row>
    <row r="106" spans="1:2" x14ac:dyDescent="0.15">
      <c r="A106" s="1">
        <v>43626</v>
      </c>
      <c r="B106" s="2">
        <v>134.71</v>
      </c>
    </row>
    <row r="107" spans="1:2" x14ac:dyDescent="0.15">
      <c r="A107" s="1">
        <v>43627</v>
      </c>
      <c r="B107" s="2">
        <v>134.61000000000001</v>
      </c>
    </row>
    <row r="108" spans="1:2" x14ac:dyDescent="0.15">
      <c r="A108" s="1">
        <v>43628</v>
      </c>
      <c r="B108" s="2">
        <v>136.31</v>
      </c>
    </row>
    <row r="109" spans="1:2" x14ac:dyDescent="0.15">
      <c r="A109" s="1">
        <v>43629</v>
      </c>
      <c r="B109" s="2">
        <v>137.32</v>
      </c>
    </row>
    <row r="110" spans="1:2" x14ac:dyDescent="0.15">
      <c r="A110" s="1">
        <v>43630</v>
      </c>
      <c r="B110" s="2">
        <v>137.65</v>
      </c>
    </row>
    <row r="111" spans="1:2" x14ac:dyDescent="0.15">
      <c r="A111" s="1">
        <v>43633</v>
      </c>
      <c r="B111" s="2">
        <v>137.19999999999999</v>
      </c>
    </row>
    <row r="112" spans="1:2" x14ac:dyDescent="0.15">
      <c r="A112" s="1">
        <v>43634</v>
      </c>
      <c r="B112" s="2">
        <v>136.08000000000001</v>
      </c>
    </row>
    <row r="113" spans="1:2" x14ac:dyDescent="0.15">
      <c r="A113" s="1">
        <v>43635</v>
      </c>
      <c r="B113" s="2">
        <v>135.88</v>
      </c>
    </row>
    <row r="114" spans="1:2" x14ac:dyDescent="0.15">
      <c r="A114" s="1">
        <v>43636</v>
      </c>
      <c r="B114" s="2">
        <v>136.31</v>
      </c>
    </row>
    <row r="115" spans="1:2" x14ac:dyDescent="0.15">
      <c r="A115" s="1">
        <v>43637</v>
      </c>
      <c r="B115" s="2">
        <v>135.59</v>
      </c>
    </row>
    <row r="116" spans="1:2" x14ac:dyDescent="0.15">
      <c r="A116" s="1">
        <v>43640</v>
      </c>
      <c r="B116" s="2">
        <v>137.79</v>
      </c>
    </row>
    <row r="117" spans="1:2" x14ac:dyDescent="0.15">
      <c r="A117" s="1">
        <v>43641</v>
      </c>
      <c r="B117" s="2">
        <v>136.83000000000001</v>
      </c>
    </row>
    <row r="118" spans="1:2" x14ac:dyDescent="0.15">
      <c r="A118" s="1">
        <v>43642</v>
      </c>
      <c r="B118" s="2">
        <v>133.41</v>
      </c>
    </row>
    <row r="119" spans="1:2" x14ac:dyDescent="0.15">
      <c r="A119" s="1">
        <v>43643</v>
      </c>
      <c r="B119" s="2">
        <v>133.91999999999999</v>
      </c>
    </row>
    <row r="120" spans="1:2" x14ac:dyDescent="0.15">
      <c r="A120" s="1">
        <v>43644</v>
      </c>
      <c r="B120" s="2">
        <v>133.28</v>
      </c>
    </row>
    <row r="121" spans="1:2" x14ac:dyDescent="0.15">
      <c r="A121" s="1">
        <v>43647</v>
      </c>
      <c r="B121" s="2">
        <v>135.41999999999999</v>
      </c>
    </row>
    <row r="122" spans="1:2" x14ac:dyDescent="0.15">
      <c r="A122" s="1">
        <v>43648</v>
      </c>
      <c r="B122" s="2">
        <v>136.07</v>
      </c>
    </row>
    <row r="123" spans="1:2" x14ac:dyDescent="0.15">
      <c r="A123" s="1">
        <v>43649</v>
      </c>
      <c r="B123" s="2">
        <v>138.35</v>
      </c>
    </row>
    <row r="124" spans="1:2" x14ac:dyDescent="0.15">
      <c r="A124" s="1">
        <v>43651</v>
      </c>
      <c r="B124" s="2">
        <v>137.06</v>
      </c>
    </row>
    <row r="125" spans="1:2" x14ac:dyDescent="0.15">
      <c r="A125" s="1">
        <v>43654</v>
      </c>
      <c r="B125" s="2">
        <v>138.49</v>
      </c>
    </row>
    <row r="126" spans="1:2" x14ac:dyDescent="0.15">
      <c r="A126" s="1">
        <v>43655</v>
      </c>
      <c r="B126" s="2">
        <v>136.87</v>
      </c>
    </row>
    <row r="127" spans="1:2" x14ac:dyDescent="0.15">
      <c r="A127" s="1">
        <v>43656</v>
      </c>
      <c r="B127" s="2">
        <v>137.80000000000001</v>
      </c>
    </row>
    <row r="128" spans="1:2" x14ac:dyDescent="0.15">
      <c r="A128" s="1">
        <v>43657</v>
      </c>
      <c r="B128" s="2">
        <v>137.41999999999999</v>
      </c>
    </row>
    <row r="129" spans="1:2" x14ac:dyDescent="0.15">
      <c r="A129" s="1">
        <v>43658</v>
      </c>
      <c r="B129" s="2">
        <v>138.76</v>
      </c>
    </row>
    <row r="130" spans="1:2" x14ac:dyDescent="0.15">
      <c r="A130" s="1">
        <v>43661</v>
      </c>
      <c r="B130" s="2">
        <v>139.25</v>
      </c>
    </row>
    <row r="131" spans="1:2" x14ac:dyDescent="0.15">
      <c r="A131" s="1">
        <v>43662</v>
      </c>
      <c r="B131" s="2">
        <v>138.52000000000001</v>
      </c>
    </row>
    <row r="132" spans="1:2" x14ac:dyDescent="0.15">
      <c r="A132" s="1">
        <v>43663</v>
      </c>
      <c r="B132" s="2">
        <v>138.03</v>
      </c>
    </row>
    <row r="133" spans="1:2" x14ac:dyDescent="0.15">
      <c r="A133" s="1">
        <v>43664</v>
      </c>
      <c r="B133" s="2">
        <v>137.54</v>
      </c>
    </row>
    <row r="134" spans="1:2" x14ac:dyDescent="0.15">
      <c r="A134" s="1">
        <v>43665</v>
      </c>
      <c r="B134" s="2">
        <v>135.74</v>
      </c>
    </row>
    <row r="135" spans="1:2" x14ac:dyDescent="0.15">
      <c r="A135" s="1">
        <v>43668</v>
      </c>
      <c r="B135" s="2">
        <v>134.26</v>
      </c>
    </row>
    <row r="136" spans="1:2" x14ac:dyDescent="0.15">
      <c r="A136" s="1">
        <v>43669</v>
      </c>
      <c r="B136" s="2">
        <v>135.05000000000001</v>
      </c>
    </row>
    <row r="137" spans="1:2" x14ac:dyDescent="0.15">
      <c r="A137" s="1">
        <v>43670</v>
      </c>
      <c r="B137" s="2">
        <v>134.65</v>
      </c>
    </row>
    <row r="138" spans="1:2" x14ac:dyDescent="0.15">
      <c r="A138" s="1">
        <v>43671</v>
      </c>
      <c r="B138" s="2">
        <v>135.38999999999999</v>
      </c>
    </row>
    <row r="139" spans="1:2" x14ac:dyDescent="0.15">
      <c r="A139" s="1">
        <v>43672</v>
      </c>
      <c r="B139" s="2">
        <v>137.16999999999999</v>
      </c>
    </row>
    <row r="140" spans="1:2" x14ac:dyDescent="0.15">
      <c r="A140" s="1">
        <v>43675</v>
      </c>
      <c r="B140" s="2">
        <v>138.25</v>
      </c>
    </row>
    <row r="141" spans="1:2" x14ac:dyDescent="0.15">
      <c r="A141" s="1">
        <v>43676</v>
      </c>
      <c r="B141" s="2">
        <v>138.30000000000001</v>
      </c>
    </row>
    <row r="142" spans="1:2" x14ac:dyDescent="0.15">
      <c r="A142" s="1">
        <v>43677</v>
      </c>
      <c r="B142" s="2">
        <v>135.65</v>
      </c>
    </row>
    <row r="143" spans="1:2" x14ac:dyDescent="0.15">
      <c r="A143" s="1">
        <v>43678</v>
      </c>
      <c r="B143" s="2">
        <v>135.24</v>
      </c>
    </row>
    <row r="144" spans="1:2" x14ac:dyDescent="0.15">
      <c r="A144" s="1">
        <v>43679</v>
      </c>
      <c r="B144" s="2">
        <v>135.87</v>
      </c>
    </row>
    <row r="145" spans="1:2" x14ac:dyDescent="0.15">
      <c r="A145" s="1">
        <v>43682</v>
      </c>
      <c r="B145" s="2">
        <v>133.63</v>
      </c>
    </row>
    <row r="146" spans="1:2" x14ac:dyDescent="0.15">
      <c r="A146" s="1">
        <v>43683</v>
      </c>
      <c r="B146" s="2">
        <v>134.52000000000001</v>
      </c>
    </row>
    <row r="147" spans="1:2" x14ac:dyDescent="0.15">
      <c r="A147" s="1">
        <v>43684</v>
      </c>
      <c r="B147" s="2">
        <v>136.13</v>
      </c>
    </row>
    <row r="148" spans="1:2" x14ac:dyDescent="0.15">
      <c r="A148" s="1">
        <v>43685</v>
      </c>
      <c r="B148" s="2">
        <v>138.54</v>
      </c>
    </row>
    <row r="149" spans="1:2" x14ac:dyDescent="0.15">
      <c r="A149" s="1">
        <v>43686</v>
      </c>
      <c r="B149" s="2">
        <v>138.37</v>
      </c>
    </row>
    <row r="150" spans="1:2" x14ac:dyDescent="0.15">
      <c r="A150" s="1">
        <v>43689</v>
      </c>
      <c r="B150" s="2">
        <v>138.13</v>
      </c>
    </row>
    <row r="151" spans="1:2" x14ac:dyDescent="0.15">
      <c r="A151" s="1">
        <v>43690</v>
      </c>
      <c r="B151" s="2">
        <v>139.41999999999999</v>
      </c>
    </row>
    <row r="152" spans="1:2" x14ac:dyDescent="0.15">
      <c r="A152" s="1">
        <v>43691</v>
      </c>
      <c r="B152" s="2">
        <v>136.71</v>
      </c>
    </row>
    <row r="153" spans="1:2" x14ac:dyDescent="0.15">
      <c r="A153" s="1">
        <v>43692</v>
      </c>
      <c r="B153" s="2">
        <v>139.27000000000001</v>
      </c>
    </row>
    <row r="154" spans="1:2" x14ac:dyDescent="0.15">
      <c r="A154" s="1">
        <v>43693</v>
      </c>
      <c r="B154" s="2">
        <v>140.72</v>
      </c>
    </row>
    <row r="155" spans="1:2" x14ac:dyDescent="0.15">
      <c r="A155" s="1">
        <v>43696</v>
      </c>
      <c r="B155" s="2">
        <v>142.74</v>
      </c>
    </row>
    <row r="156" spans="1:2" x14ac:dyDescent="0.15">
      <c r="A156" s="1">
        <v>43697</v>
      </c>
      <c r="B156" s="2">
        <v>140.15</v>
      </c>
    </row>
    <row r="157" spans="1:2" x14ac:dyDescent="0.15">
      <c r="A157" s="1">
        <v>43698</v>
      </c>
      <c r="B157" s="2">
        <v>141.91</v>
      </c>
    </row>
    <row r="158" spans="1:2" x14ac:dyDescent="0.15">
      <c r="A158" s="1">
        <v>43699</v>
      </c>
      <c r="B158" s="2">
        <v>141.78</v>
      </c>
    </row>
    <row r="159" spans="1:2" x14ac:dyDescent="0.15">
      <c r="A159" s="1">
        <v>43700</v>
      </c>
      <c r="B159" s="2">
        <v>138.41</v>
      </c>
    </row>
    <row r="160" spans="1:2" x14ac:dyDescent="0.15">
      <c r="A160" s="1">
        <v>43703</v>
      </c>
      <c r="B160" s="2">
        <v>140.25</v>
      </c>
    </row>
    <row r="161" spans="1:2" x14ac:dyDescent="0.15">
      <c r="A161" s="1">
        <v>43704</v>
      </c>
      <c r="B161" s="2">
        <v>141.13999999999999</v>
      </c>
    </row>
    <row r="162" spans="1:2" x14ac:dyDescent="0.15">
      <c r="A162" s="1">
        <v>43705</v>
      </c>
      <c r="B162" s="2">
        <v>141.94999999999999</v>
      </c>
    </row>
    <row r="163" spans="1:2" x14ac:dyDescent="0.15">
      <c r="A163" s="1">
        <v>43706</v>
      </c>
      <c r="B163" s="2">
        <v>141.84</v>
      </c>
    </row>
    <row r="164" spans="1:2" x14ac:dyDescent="0.15">
      <c r="A164" s="1">
        <v>43707</v>
      </c>
      <c r="B164" s="2">
        <v>141.11000000000001</v>
      </c>
    </row>
    <row r="165" spans="1:2" x14ac:dyDescent="0.15">
      <c r="A165" s="1">
        <v>43711</v>
      </c>
      <c r="B165" s="2">
        <v>141.51</v>
      </c>
    </row>
    <row r="166" spans="1:2" x14ac:dyDescent="0.15">
      <c r="A166" s="1">
        <v>43712</v>
      </c>
      <c r="B166" s="2">
        <v>142.68</v>
      </c>
    </row>
    <row r="167" spans="1:2" x14ac:dyDescent="0.15">
      <c r="A167" s="1">
        <v>43713</v>
      </c>
      <c r="B167" s="2">
        <v>139.47999999999999</v>
      </c>
    </row>
    <row r="168" spans="1:2" x14ac:dyDescent="0.15">
      <c r="A168" s="1">
        <v>43714</v>
      </c>
      <c r="B168" s="2">
        <v>138.05000000000001</v>
      </c>
    </row>
    <row r="169" spans="1:2" x14ac:dyDescent="0.15">
      <c r="A169" s="1">
        <v>43717</v>
      </c>
      <c r="B169" s="2">
        <v>133.27000000000001</v>
      </c>
    </row>
    <row r="170" spans="1:2" x14ac:dyDescent="0.15">
      <c r="A170" s="1">
        <v>43718</v>
      </c>
      <c r="B170" s="2">
        <v>131.15</v>
      </c>
    </row>
    <row r="171" spans="1:2" x14ac:dyDescent="0.15">
      <c r="A171" s="1">
        <v>43719</v>
      </c>
      <c r="B171" s="2">
        <v>131.91</v>
      </c>
    </row>
    <row r="172" spans="1:2" x14ac:dyDescent="0.15">
      <c r="A172" s="1">
        <v>43720</v>
      </c>
      <c r="B172" s="2">
        <v>133.58000000000001</v>
      </c>
    </row>
    <row r="173" spans="1:2" x14ac:dyDescent="0.15">
      <c r="A173" s="1">
        <v>43721</v>
      </c>
      <c r="B173" s="2">
        <v>132.41</v>
      </c>
    </row>
    <row r="174" spans="1:2" x14ac:dyDescent="0.15">
      <c r="A174" s="1">
        <v>43724</v>
      </c>
      <c r="B174" s="2">
        <v>128.78</v>
      </c>
    </row>
    <row r="175" spans="1:2" x14ac:dyDescent="0.15">
      <c r="A175" s="1">
        <v>43725</v>
      </c>
      <c r="B175" s="2">
        <v>131.91999999999999</v>
      </c>
    </row>
    <row r="176" spans="1:2" x14ac:dyDescent="0.15">
      <c r="A176" s="1">
        <v>43726</v>
      </c>
      <c r="B176" s="2">
        <v>133.09</v>
      </c>
    </row>
    <row r="177" spans="1:2" x14ac:dyDescent="0.15">
      <c r="A177" s="1">
        <v>43727</v>
      </c>
      <c r="B177" s="2">
        <v>134.12</v>
      </c>
    </row>
    <row r="178" spans="1:2" x14ac:dyDescent="0.15">
      <c r="A178" s="1">
        <v>43728</v>
      </c>
      <c r="B178" s="2">
        <v>135.04</v>
      </c>
    </row>
    <row r="179" spans="1:2" x14ac:dyDescent="0.15">
      <c r="A179" s="1">
        <v>43731</v>
      </c>
      <c r="B179" s="2">
        <v>136.83000000000001</v>
      </c>
    </row>
    <row r="180" spans="1:2" x14ac:dyDescent="0.15">
      <c r="A180" s="1">
        <v>43732</v>
      </c>
      <c r="B180" s="2">
        <v>137.80000000000001</v>
      </c>
    </row>
    <row r="181" spans="1:2" x14ac:dyDescent="0.15">
      <c r="A181" s="1">
        <v>43733</v>
      </c>
      <c r="B181" s="2">
        <v>137.58000000000001</v>
      </c>
    </row>
    <row r="182" spans="1:2" x14ac:dyDescent="0.15">
      <c r="A182" s="1">
        <v>43734</v>
      </c>
      <c r="B182" s="2">
        <v>140.11000000000001</v>
      </c>
    </row>
    <row r="183" spans="1:2" x14ac:dyDescent="0.15">
      <c r="A183" s="1">
        <v>43735</v>
      </c>
      <c r="B183" s="2">
        <v>142.06</v>
      </c>
    </row>
    <row r="184" spans="1:2" x14ac:dyDescent="0.15">
      <c r="A184" s="1">
        <v>43738</v>
      </c>
      <c r="B184" s="2">
        <v>142.05000000000001</v>
      </c>
    </row>
    <row r="185" spans="1:2" x14ac:dyDescent="0.15">
      <c r="A185" s="1">
        <v>43739</v>
      </c>
      <c r="B185" s="2">
        <v>141.66</v>
      </c>
    </row>
    <row r="186" spans="1:2" x14ac:dyDescent="0.15">
      <c r="A186" s="1">
        <v>43740</v>
      </c>
      <c r="B186" s="2">
        <v>139.79</v>
      </c>
    </row>
    <row r="187" spans="1:2" x14ac:dyDescent="0.15">
      <c r="A187" s="1">
        <v>43741</v>
      </c>
      <c r="B187" s="2">
        <v>139.72</v>
      </c>
    </row>
    <row r="188" spans="1:2" x14ac:dyDescent="0.15">
      <c r="A188" s="1">
        <v>43742</v>
      </c>
      <c r="B188" s="2">
        <v>141.6</v>
      </c>
    </row>
    <row r="189" spans="1:2" x14ac:dyDescent="0.15">
      <c r="A189" s="1">
        <v>43745</v>
      </c>
      <c r="B189" s="2">
        <v>140.16</v>
      </c>
    </row>
    <row r="190" spans="1:2" x14ac:dyDescent="0.15">
      <c r="A190" s="1">
        <v>43746</v>
      </c>
      <c r="B190" s="2">
        <v>137.11000000000001</v>
      </c>
    </row>
    <row r="191" spans="1:2" x14ac:dyDescent="0.15">
      <c r="A191" s="1">
        <v>43747</v>
      </c>
      <c r="B191" s="2">
        <v>137.35</v>
      </c>
    </row>
    <row r="192" spans="1:2" x14ac:dyDescent="0.15">
      <c r="A192" s="1">
        <v>43748</v>
      </c>
      <c r="B192" s="2">
        <v>137.88999999999999</v>
      </c>
    </row>
    <row r="193" spans="1:2" x14ac:dyDescent="0.15">
      <c r="A193" s="1">
        <v>43749</v>
      </c>
      <c r="B193" s="2">
        <v>137.63</v>
      </c>
    </row>
    <row r="194" spans="1:2" x14ac:dyDescent="0.15">
      <c r="A194" s="1">
        <v>43752</v>
      </c>
      <c r="B194" s="2">
        <v>135.1</v>
      </c>
    </row>
    <row r="195" spans="1:2" x14ac:dyDescent="0.15">
      <c r="A195" s="1">
        <v>43753</v>
      </c>
      <c r="B195" s="2">
        <v>133.87</v>
      </c>
    </row>
    <row r="196" spans="1:2" x14ac:dyDescent="0.15">
      <c r="A196" s="1">
        <v>43754</v>
      </c>
      <c r="B196" s="2">
        <v>134.69999999999999</v>
      </c>
    </row>
    <row r="197" spans="1:2" x14ac:dyDescent="0.15">
      <c r="A197" s="1">
        <v>43755</v>
      </c>
      <c r="B197" s="2">
        <v>135.62</v>
      </c>
    </row>
    <row r="198" spans="1:2" x14ac:dyDescent="0.15">
      <c r="A198" s="1">
        <v>43756</v>
      </c>
      <c r="B198" s="2">
        <v>137.22</v>
      </c>
    </row>
    <row r="199" spans="1:2" x14ac:dyDescent="0.15">
      <c r="A199" s="1">
        <v>43759</v>
      </c>
      <c r="B199" s="2">
        <v>139.19</v>
      </c>
    </row>
    <row r="200" spans="1:2" x14ac:dyDescent="0.15">
      <c r="A200" s="1">
        <v>43760</v>
      </c>
      <c r="B200" s="2">
        <v>129.38</v>
      </c>
    </row>
    <row r="201" spans="1:2" x14ac:dyDescent="0.15">
      <c r="A201" s="1">
        <v>43761</v>
      </c>
      <c r="B201" s="2">
        <v>134.29</v>
      </c>
    </row>
    <row r="202" spans="1:2" x14ac:dyDescent="0.15">
      <c r="A202" s="1">
        <v>43762</v>
      </c>
      <c r="B202" s="2">
        <v>135.19</v>
      </c>
    </row>
    <row r="203" spans="1:2" x14ac:dyDescent="0.15">
      <c r="A203" s="1">
        <v>43763</v>
      </c>
      <c r="B203" s="2">
        <v>134.19999999999999</v>
      </c>
    </row>
    <row r="204" spans="1:2" x14ac:dyDescent="0.15">
      <c r="A204" s="1">
        <v>43766</v>
      </c>
      <c r="B204" s="2">
        <v>131.88</v>
      </c>
    </row>
    <row r="205" spans="1:2" x14ac:dyDescent="0.15">
      <c r="A205" s="1">
        <v>43767</v>
      </c>
      <c r="B205" s="2">
        <v>132.94</v>
      </c>
    </row>
    <row r="206" spans="1:2" x14ac:dyDescent="0.15">
      <c r="A206" s="1">
        <v>43768</v>
      </c>
      <c r="B206" s="2">
        <v>133.66999999999999</v>
      </c>
    </row>
    <row r="207" spans="1:2" x14ac:dyDescent="0.15">
      <c r="A207" s="1">
        <v>43769</v>
      </c>
      <c r="B207" s="2">
        <v>132.88</v>
      </c>
    </row>
    <row r="208" spans="1:2" x14ac:dyDescent="0.15">
      <c r="A208" s="1">
        <v>43770</v>
      </c>
      <c r="B208" s="2">
        <v>132.04</v>
      </c>
    </row>
    <row r="209" spans="1:2" x14ac:dyDescent="0.15">
      <c r="A209" s="1">
        <v>43773</v>
      </c>
      <c r="B209" s="2">
        <v>129.36000000000001</v>
      </c>
    </row>
    <row r="210" spans="1:2" x14ac:dyDescent="0.15">
      <c r="A210" s="1">
        <v>43774</v>
      </c>
      <c r="B210" s="2">
        <v>130.37</v>
      </c>
    </row>
    <row r="211" spans="1:2" x14ac:dyDescent="0.15">
      <c r="A211" s="1">
        <v>43775</v>
      </c>
      <c r="B211" s="2">
        <v>131.72</v>
      </c>
    </row>
    <row r="212" spans="1:2" x14ac:dyDescent="0.15">
      <c r="A212" s="1">
        <v>43776</v>
      </c>
      <c r="B212" s="2">
        <v>131.76</v>
      </c>
    </row>
    <row r="213" spans="1:2" x14ac:dyDescent="0.15">
      <c r="A213" s="1">
        <v>43777</v>
      </c>
      <c r="B213" s="2">
        <v>131.46</v>
      </c>
    </row>
    <row r="214" spans="1:2" x14ac:dyDescent="0.15">
      <c r="A214" s="1">
        <v>43780</v>
      </c>
      <c r="B214" s="2">
        <v>131.19999999999999</v>
      </c>
    </row>
    <row r="215" spans="1:2" x14ac:dyDescent="0.15">
      <c r="A215" s="1">
        <v>43781</v>
      </c>
      <c r="B215" s="2">
        <v>131.35</v>
      </c>
    </row>
    <row r="216" spans="1:2" x14ac:dyDescent="0.15">
      <c r="A216" s="1">
        <v>43782</v>
      </c>
      <c r="B216" s="2">
        <v>132.41999999999999</v>
      </c>
    </row>
    <row r="217" spans="1:2" x14ac:dyDescent="0.15">
      <c r="A217" s="1">
        <v>43783</v>
      </c>
      <c r="B217" s="2">
        <v>132.38999999999999</v>
      </c>
    </row>
    <row r="218" spans="1:2" x14ac:dyDescent="0.15">
      <c r="A218" s="1">
        <v>43784</v>
      </c>
      <c r="B218" s="2">
        <v>131.63</v>
      </c>
    </row>
    <row r="219" spans="1:2" x14ac:dyDescent="0.15">
      <c r="A219" s="1">
        <v>43787</v>
      </c>
      <c r="B219" s="2">
        <v>132.52000000000001</v>
      </c>
    </row>
    <row r="220" spans="1:2" x14ac:dyDescent="0.15">
      <c r="A220" s="1">
        <v>43788</v>
      </c>
      <c r="B220" s="2">
        <v>132.94</v>
      </c>
    </row>
    <row r="221" spans="1:2" x14ac:dyDescent="0.15">
      <c r="A221" s="1">
        <v>43789</v>
      </c>
      <c r="B221" s="2">
        <v>134.6</v>
      </c>
    </row>
    <row r="222" spans="1:2" x14ac:dyDescent="0.15">
      <c r="A222" s="1">
        <v>43790</v>
      </c>
      <c r="B222" s="2">
        <v>133.36000000000001</v>
      </c>
    </row>
    <row r="223" spans="1:2" x14ac:dyDescent="0.15">
      <c r="A223" s="1">
        <v>43791</v>
      </c>
      <c r="B223" s="2">
        <v>133.53</v>
      </c>
    </row>
    <row r="224" spans="1:2" x14ac:dyDescent="0.15">
      <c r="A224" s="1">
        <v>43794</v>
      </c>
      <c r="B224" s="2">
        <v>133.35</v>
      </c>
    </row>
    <row r="225" spans="1:2" x14ac:dyDescent="0.15">
      <c r="A225" s="1">
        <v>43795</v>
      </c>
      <c r="B225" s="2">
        <v>134.57</v>
      </c>
    </row>
    <row r="226" spans="1:2" x14ac:dyDescent="0.15">
      <c r="A226" s="1">
        <v>43796</v>
      </c>
      <c r="B226" s="2">
        <v>136.26</v>
      </c>
    </row>
    <row r="227" spans="1:2" x14ac:dyDescent="0.15">
      <c r="A227" s="1">
        <v>43798</v>
      </c>
      <c r="B227" s="2">
        <v>136.34</v>
      </c>
    </row>
    <row r="228" spans="1:2" x14ac:dyDescent="0.15">
      <c r="A228" s="1">
        <v>43801</v>
      </c>
      <c r="B228" s="2">
        <v>136.30000000000001</v>
      </c>
    </row>
    <row r="229" spans="1:2" x14ac:dyDescent="0.15">
      <c r="A229" s="1">
        <v>43802</v>
      </c>
      <c r="B229" s="2">
        <v>136.03</v>
      </c>
    </row>
    <row r="230" spans="1:2" x14ac:dyDescent="0.15">
      <c r="A230" s="1">
        <v>43803</v>
      </c>
      <c r="B230" s="2">
        <v>137.49</v>
      </c>
    </row>
    <row r="231" spans="1:2" x14ac:dyDescent="0.15">
      <c r="A231" s="1">
        <v>43804</v>
      </c>
      <c r="B231" s="2">
        <v>136.52000000000001</v>
      </c>
    </row>
    <row r="232" spans="1:2" x14ac:dyDescent="0.15">
      <c r="A232" s="1">
        <v>43805</v>
      </c>
      <c r="B232" s="2">
        <v>136.97999999999999</v>
      </c>
    </row>
    <row r="233" spans="1:2" x14ac:dyDescent="0.15">
      <c r="A233" s="1">
        <v>43808</v>
      </c>
      <c r="B233" s="2">
        <v>136.97999999999999</v>
      </c>
    </row>
    <row r="234" spans="1:2" x14ac:dyDescent="0.15">
      <c r="A234" s="1">
        <v>43809</v>
      </c>
      <c r="B234" s="2">
        <v>136.12</v>
      </c>
    </row>
    <row r="235" spans="1:2" x14ac:dyDescent="0.15">
      <c r="A235" s="1">
        <v>43810</v>
      </c>
      <c r="B235" s="2">
        <v>136.9</v>
      </c>
    </row>
    <row r="236" spans="1:2" x14ac:dyDescent="0.15">
      <c r="A236" s="1">
        <v>43811</v>
      </c>
      <c r="B236" s="2">
        <v>135.91999999999999</v>
      </c>
    </row>
    <row r="237" spans="1:2" x14ac:dyDescent="0.15">
      <c r="A237" s="1">
        <v>43812</v>
      </c>
      <c r="B237" s="2">
        <v>135.94</v>
      </c>
    </row>
    <row r="238" spans="1:2" x14ac:dyDescent="0.15">
      <c r="A238" s="1">
        <v>43815</v>
      </c>
      <c r="B238" s="2">
        <v>135.82</v>
      </c>
    </row>
    <row r="239" spans="1:2" x14ac:dyDescent="0.15">
      <c r="A239" s="1">
        <v>43816</v>
      </c>
      <c r="B239" s="2">
        <v>135.21</v>
      </c>
    </row>
    <row r="240" spans="1:2" x14ac:dyDescent="0.15">
      <c r="A240" s="1">
        <v>43817</v>
      </c>
      <c r="B240" s="2">
        <v>135.19</v>
      </c>
    </row>
    <row r="241" spans="1:2" x14ac:dyDescent="0.15">
      <c r="A241" s="1">
        <v>43818</v>
      </c>
      <c r="B241" s="2">
        <v>136.74</v>
      </c>
    </row>
    <row r="242" spans="1:2" x14ac:dyDescent="0.15">
      <c r="A242" s="1">
        <v>43819</v>
      </c>
      <c r="B242" s="2">
        <v>138.01</v>
      </c>
    </row>
    <row r="243" spans="1:2" x14ac:dyDescent="0.15">
      <c r="A243" s="1">
        <v>43822</v>
      </c>
      <c r="B243" s="2">
        <v>136.97</v>
      </c>
    </row>
    <row r="244" spans="1:2" x14ac:dyDescent="0.15">
      <c r="A244" s="1">
        <v>43823</v>
      </c>
      <c r="B244" s="2">
        <v>137.22999999999999</v>
      </c>
    </row>
    <row r="245" spans="1:2" x14ac:dyDescent="0.15">
      <c r="A245" s="1">
        <v>43825</v>
      </c>
      <c r="B245" s="2">
        <v>137.22999999999999</v>
      </c>
    </row>
    <row r="246" spans="1:2" x14ac:dyDescent="0.15">
      <c r="A246" s="1">
        <v>43826</v>
      </c>
      <c r="B246" s="2">
        <v>138.07</v>
      </c>
    </row>
    <row r="247" spans="1:2" x14ac:dyDescent="0.15">
      <c r="A247" s="1">
        <v>43829</v>
      </c>
      <c r="B247" s="2">
        <v>136.88999999999999</v>
      </c>
    </row>
    <row r="248" spans="1:2" x14ac:dyDescent="0.15">
      <c r="A248" s="1">
        <v>43830</v>
      </c>
      <c r="B248" s="2">
        <v>137.55000000000001</v>
      </c>
    </row>
    <row r="249" spans="1:2" x14ac:dyDescent="0.15">
      <c r="A249" s="1">
        <v>43832</v>
      </c>
      <c r="B249" s="2">
        <v>135.83000000000001</v>
      </c>
    </row>
    <row r="250" spans="1:2" x14ac:dyDescent="0.15">
      <c r="A250" s="1">
        <v>43833</v>
      </c>
      <c r="B250" s="2">
        <v>135.79</v>
      </c>
    </row>
    <row r="251" spans="1:2" x14ac:dyDescent="0.15">
      <c r="A251" s="1">
        <v>43836</v>
      </c>
      <c r="B251" s="2">
        <v>136.09</v>
      </c>
    </row>
    <row r="252" spans="1:2" x14ac:dyDescent="0.15">
      <c r="A252" s="1">
        <v>43837</v>
      </c>
      <c r="B252" s="2">
        <v>135.97</v>
      </c>
    </row>
    <row r="253" spans="1:2" x14ac:dyDescent="0.15">
      <c r="A253" s="1">
        <v>43838</v>
      </c>
      <c r="B253" s="2">
        <v>137.29</v>
      </c>
    </row>
    <row r="254" spans="1:2" x14ac:dyDescent="0.15">
      <c r="A254" s="1">
        <v>43839</v>
      </c>
      <c r="B254" s="2">
        <v>139.46</v>
      </c>
    </row>
    <row r="255" spans="1:2" x14ac:dyDescent="0.15">
      <c r="A255" s="1">
        <v>43840</v>
      </c>
      <c r="B255" s="2">
        <v>140.22999999999999</v>
      </c>
    </row>
    <row r="256" spans="1:2" x14ac:dyDescent="0.15">
      <c r="A256" s="1">
        <v>43843</v>
      </c>
      <c r="B256" s="2">
        <v>140.9</v>
      </c>
    </row>
    <row r="257" spans="1:2" x14ac:dyDescent="0.15">
      <c r="A257" s="1">
        <v>43844</v>
      </c>
      <c r="B257" s="2">
        <v>140.99</v>
      </c>
    </row>
    <row r="258" spans="1:2" x14ac:dyDescent="0.15">
      <c r="A258" s="1">
        <v>43845</v>
      </c>
      <c r="B258" s="2">
        <v>142.16</v>
      </c>
    </row>
    <row r="259" spans="1:2" x14ac:dyDescent="0.15">
      <c r="A259" s="1">
        <v>43846</v>
      </c>
      <c r="B259" s="2">
        <v>143.43</v>
      </c>
    </row>
    <row r="260" spans="1:2" x14ac:dyDescent="0.15">
      <c r="A260" s="1">
        <v>43847</v>
      </c>
      <c r="B260" s="2">
        <v>144.5</v>
      </c>
    </row>
    <row r="261" spans="1:2" x14ac:dyDescent="0.15">
      <c r="A261" s="1">
        <v>43851</v>
      </c>
      <c r="B261" s="2">
        <v>144.59</v>
      </c>
    </row>
    <row r="262" spans="1:2" x14ac:dyDescent="0.15">
      <c r="A262" s="1">
        <v>43852</v>
      </c>
      <c r="B262" s="2">
        <v>144.38999999999999</v>
      </c>
    </row>
    <row r="263" spans="1:2" x14ac:dyDescent="0.15">
      <c r="A263" s="1">
        <v>43853</v>
      </c>
      <c r="B263" s="2">
        <v>144.65</v>
      </c>
    </row>
    <row r="264" spans="1:2" x14ac:dyDescent="0.15">
      <c r="A264" s="1">
        <v>43854</v>
      </c>
      <c r="B264" s="2">
        <v>143.41999999999999</v>
      </c>
    </row>
    <row r="265" spans="1:2" x14ac:dyDescent="0.15">
      <c r="A265" s="1">
        <v>43857</v>
      </c>
      <c r="B265" s="2">
        <v>143.96</v>
      </c>
    </row>
    <row r="266" spans="1:2" x14ac:dyDescent="0.15">
      <c r="A266" s="1">
        <v>43858</v>
      </c>
      <c r="B266" s="2">
        <v>144.88999999999999</v>
      </c>
    </row>
    <row r="267" spans="1:2" x14ac:dyDescent="0.15">
      <c r="A267" s="1">
        <v>43859</v>
      </c>
      <c r="B267" s="2">
        <v>143.19999999999999</v>
      </c>
    </row>
    <row r="268" spans="1:2" x14ac:dyDescent="0.15">
      <c r="A268" s="1">
        <v>43860</v>
      </c>
      <c r="B268" s="2">
        <v>144.63</v>
      </c>
    </row>
    <row r="269" spans="1:2" x14ac:dyDescent="0.15">
      <c r="A269" s="1">
        <v>43861</v>
      </c>
      <c r="B269" s="2">
        <v>143.24</v>
      </c>
    </row>
    <row r="270" spans="1:2" x14ac:dyDescent="0.15">
      <c r="A270" s="1">
        <v>43864</v>
      </c>
      <c r="B270" s="2">
        <v>143.78</v>
      </c>
    </row>
    <row r="271" spans="1:2" x14ac:dyDescent="0.15">
      <c r="A271" s="1">
        <v>43865</v>
      </c>
      <c r="B271" s="2">
        <v>143.38</v>
      </c>
    </row>
    <row r="272" spans="1:2" x14ac:dyDescent="0.15">
      <c r="A272" s="1">
        <v>43866</v>
      </c>
      <c r="B272" s="2">
        <v>145.07</v>
      </c>
    </row>
    <row r="273" spans="1:2" x14ac:dyDescent="0.15">
      <c r="A273" s="1">
        <v>43867</v>
      </c>
      <c r="B273" s="2">
        <v>144.53</v>
      </c>
    </row>
    <row r="274" spans="1:2" x14ac:dyDescent="0.15">
      <c r="A274" s="1">
        <v>43868</v>
      </c>
      <c r="B274" s="2">
        <v>144.82</v>
      </c>
    </row>
    <row r="275" spans="1:2" x14ac:dyDescent="0.15">
      <c r="A275" s="1">
        <v>43871</v>
      </c>
      <c r="B275" s="2">
        <v>146.21</v>
      </c>
    </row>
    <row r="276" spans="1:2" x14ac:dyDescent="0.15">
      <c r="A276" s="1">
        <v>43872</v>
      </c>
      <c r="B276" s="2">
        <v>145.25</v>
      </c>
    </row>
    <row r="277" spans="1:2" x14ac:dyDescent="0.15">
      <c r="A277" s="1">
        <v>43873</v>
      </c>
      <c r="B277" s="2">
        <v>144.29</v>
      </c>
    </row>
    <row r="278" spans="1:2" x14ac:dyDescent="0.15">
      <c r="A278" s="1">
        <v>43874</v>
      </c>
      <c r="B278" s="2">
        <v>144.74</v>
      </c>
    </row>
    <row r="279" spans="1:2" x14ac:dyDescent="0.15">
      <c r="A279" s="1">
        <v>43875</v>
      </c>
      <c r="B279" s="2">
        <v>145.56</v>
      </c>
    </row>
    <row r="280" spans="1:2" x14ac:dyDescent="0.15">
      <c r="A280" s="1">
        <v>43879</v>
      </c>
      <c r="B280" s="2">
        <v>143.84</v>
      </c>
    </row>
    <row r="281" spans="1:2" x14ac:dyDescent="0.15">
      <c r="A281" s="1">
        <v>43880</v>
      </c>
      <c r="B281" s="2">
        <v>143.77000000000001</v>
      </c>
    </row>
    <row r="282" spans="1:2" x14ac:dyDescent="0.15">
      <c r="A282" s="1">
        <v>43881</v>
      </c>
      <c r="B282" s="2">
        <v>142.16999999999999</v>
      </c>
    </row>
    <row r="283" spans="1:2" x14ac:dyDescent="0.15">
      <c r="A283" s="1">
        <v>43882</v>
      </c>
      <c r="B283" s="2">
        <v>141.35</v>
      </c>
    </row>
    <row r="284" spans="1:2" x14ac:dyDescent="0.15">
      <c r="A284" s="1">
        <v>43885</v>
      </c>
      <c r="B284" s="2">
        <v>140.12</v>
      </c>
    </row>
    <row r="285" spans="1:2" x14ac:dyDescent="0.15">
      <c r="A285" s="1">
        <v>43886</v>
      </c>
      <c r="B285" s="2">
        <v>138.97999999999999</v>
      </c>
    </row>
    <row r="286" spans="1:2" x14ac:dyDescent="0.15">
      <c r="A286" s="1">
        <v>43887</v>
      </c>
      <c r="B286" s="2">
        <v>138.26</v>
      </c>
    </row>
    <row r="287" spans="1:2" x14ac:dyDescent="0.15">
      <c r="A287" s="1">
        <v>43888</v>
      </c>
      <c r="B287" s="2">
        <v>134.01</v>
      </c>
    </row>
    <row r="288" spans="1:2" x14ac:dyDescent="0.15">
      <c r="A288" s="1">
        <v>43889</v>
      </c>
      <c r="B288" s="2">
        <v>131.19</v>
      </c>
    </row>
    <row r="289" spans="1:2" x14ac:dyDescent="0.15">
      <c r="A289" s="1">
        <v>43892</v>
      </c>
      <c r="B289" s="2">
        <v>141.1</v>
      </c>
    </row>
    <row r="290" spans="1:2" x14ac:dyDescent="0.15">
      <c r="A290" s="1">
        <v>43893</v>
      </c>
      <c r="B290" s="2">
        <v>140.79</v>
      </c>
    </row>
    <row r="291" spans="1:2" x14ac:dyDescent="0.15">
      <c r="A291" s="1">
        <v>43894</v>
      </c>
      <c r="B291" s="2">
        <v>148.25</v>
      </c>
    </row>
    <row r="292" spans="1:2" x14ac:dyDescent="0.15">
      <c r="A292" s="1">
        <v>43895</v>
      </c>
      <c r="B292" s="2">
        <v>143.31</v>
      </c>
    </row>
    <row r="293" spans="1:2" x14ac:dyDescent="0.15">
      <c r="A293" s="1">
        <v>43896</v>
      </c>
      <c r="B293" s="2">
        <v>146.46</v>
      </c>
    </row>
    <row r="294" spans="1:2" x14ac:dyDescent="0.15">
      <c r="A294" s="1">
        <v>43899</v>
      </c>
      <c r="B294" s="2">
        <v>141.32</v>
      </c>
    </row>
    <row r="295" spans="1:2" x14ac:dyDescent="0.15">
      <c r="A295" s="1">
        <v>43900</v>
      </c>
      <c r="B295" s="2">
        <v>141.02000000000001</v>
      </c>
    </row>
    <row r="296" spans="1:2" x14ac:dyDescent="0.15">
      <c r="A296" s="1">
        <v>43901</v>
      </c>
      <c r="B296" s="2">
        <v>134.16</v>
      </c>
    </row>
    <row r="297" spans="1:2" x14ac:dyDescent="0.15">
      <c r="A297" s="1">
        <v>43902</v>
      </c>
      <c r="B297" s="2">
        <v>122.31</v>
      </c>
    </row>
    <row r="298" spans="1:2" x14ac:dyDescent="0.15">
      <c r="A298" s="1">
        <v>43903</v>
      </c>
      <c r="B298" s="2">
        <v>134.18</v>
      </c>
    </row>
    <row r="299" spans="1:2" x14ac:dyDescent="0.15">
      <c r="A299" s="1">
        <v>43906</v>
      </c>
      <c r="B299" s="2">
        <v>134.71</v>
      </c>
    </row>
    <row r="300" spans="1:2" x14ac:dyDescent="0.15">
      <c r="A300" s="1">
        <v>43907</v>
      </c>
      <c r="B300" s="2">
        <v>144.07</v>
      </c>
    </row>
    <row r="301" spans="1:2" x14ac:dyDescent="0.15">
      <c r="A301" s="1">
        <v>43908</v>
      </c>
      <c r="B301" s="2">
        <v>134.35</v>
      </c>
    </row>
    <row r="302" spans="1:2" x14ac:dyDescent="0.15">
      <c r="A302" s="1">
        <v>43909</v>
      </c>
      <c r="B302" s="2">
        <v>126.41</v>
      </c>
    </row>
    <row r="303" spans="1:2" x14ac:dyDescent="0.15">
      <c r="A303" s="1">
        <v>43910</v>
      </c>
      <c r="B303" s="2">
        <v>118.28</v>
      </c>
    </row>
    <row r="304" spans="1:2" x14ac:dyDescent="0.15">
      <c r="A304" s="1">
        <v>43913</v>
      </c>
      <c r="B304" s="2">
        <v>112.34</v>
      </c>
    </row>
    <row r="305" spans="1:2" x14ac:dyDescent="0.15">
      <c r="A305" s="1">
        <v>43914</v>
      </c>
      <c r="B305" s="2">
        <v>117.38</v>
      </c>
    </row>
    <row r="306" spans="1:2" x14ac:dyDescent="0.15">
      <c r="A306" s="1">
        <v>43915</v>
      </c>
      <c r="B306" s="2">
        <v>116.36</v>
      </c>
    </row>
    <row r="307" spans="1:2" x14ac:dyDescent="0.15">
      <c r="A307" s="1">
        <v>43916</v>
      </c>
      <c r="B307" s="2">
        <v>124.01</v>
      </c>
    </row>
    <row r="308" spans="1:2" x14ac:dyDescent="0.15">
      <c r="A308" s="1">
        <v>43917</v>
      </c>
      <c r="B308" s="2">
        <v>124.89</v>
      </c>
    </row>
    <row r="309" spans="1:2" x14ac:dyDescent="0.15">
      <c r="A309" s="1">
        <v>43920</v>
      </c>
      <c r="B309" s="2">
        <v>132.43</v>
      </c>
    </row>
    <row r="310" spans="1:2" x14ac:dyDescent="0.15">
      <c r="A310" s="1">
        <v>43921</v>
      </c>
      <c r="B310" s="2">
        <v>127.87</v>
      </c>
    </row>
    <row r="311" spans="1:2" x14ac:dyDescent="0.15">
      <c r="A311" s="1">
        <v>43922</v>
      </c>
      <c r="B311" s="2">
        <v>125.66</v>
      </c>
    </row>
  </sheetData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D44E8-5781-FC40-A071-E3CFFFAC543C}">
  <dimension ref="A34:B311"/>
  <sheetViews>
    <sheetView workbookViewId="0">
      <selection activeCell="B36" sqref="B36:B58"/>
    </sheetView>
  </sheetViews>
  <sheetFormatPr baseColWidth="10" defaultRowHeight="13" x14ac:dyDescent="0.15"/>
  <cols>
    <col min="1" max="1" width="11.5" bestFit="1" customWidth="1"/>
    <col min="2" max="2" width="47" bestFit="1" customWidth="1"/>
    <col min="3" max="256" width="8.83203125" customWidth="1"/>
    <col min="257" max="257" width="11.5" bestFit="1" customWidth="1"/>
    <col min="258" max="258" width="47" bestFit="1" customWidth="1"/>
    <col min="259" max="512" width="8.83203125" customWidth="1"/>
    <col min="513" max="513" width="11.5" bestFit="1" customWidth="1"/>
    <col min="514" max="514" width="47" bestFit="1" customWidth="1"/>
    <col min="515" max="768" width="8.83203125" customWidth="1"/>
    <col min="769" max="769" width="11.5" bestFit="1" customWidth="1"/>
    <col min="770" max="770" width="47" bestFit="1" customWidth="1"/>
    <col min="771" max="1024" width="8.83203125" customWidth="1"/>
    <col min="1025" max="1025" width="11.5" bestFit="1" customWidth="1"/>
    <col min="1026" max="1026" width="47" bestFit="1" customWidth="1"/>
    <col min="1027" max="1280" width="8.83203125" customWidth="1"/>
    <col min="1281" max="1281" width="11.5" bestFit="1" customWidth="1"/>
    <col min="1282" max="1282" width="47" bestFit="1" customWidth="1"/>
    <col min="1283" max="1536" width="8.83203125" customWidth="1"/>
    <col min="1537" max="1537" width="11.5" bestFit="1" customWidth="1"/>
    <col min="1538" max="1538" width="47" bestFit="1" customWidth="1"/>
    <col min="1539" max="1792" width="8.83203125" customWidth="1"/>
    <col min="1793" max="1793" width="11.5" bestFit="1" customWidth="1"/>
    <col min="1794" max="1794" width="47" bestFit="1" customWidth="1"/>
    <col min="1795" max="2048" width="8.83203125" customWidth="1"/>
    <col min="2049" max="2049" width="11.5" bestFit="1" customWidth="1"/>
    <col min="2050" max="2050" width="47" bestFit="1" customWidth="1"/>
    <col min="2051" max="2304" width="8.83203125" customWidth="1"/>
    <col min="2305" max="2305" width="11.5" bestFit="1" customWidth="1"/>
    <col min="2306" max="2306" width="47" bestFit="1" customWidth="1"/>
    <col min="2307" max="2560" width="8.83203125" customWidth="1"/>
    <col min="2561" max="2561" width="11.5" bestFit="1" customWidth="1"/>
    <col min="2562" max="2562" width="47" bestFit="1" customWidth="1"/>
    <col min="2563" max="2816" width="8.83203125" customWidth="1"/>
    <col min="2817" max="2817" width="11.5" bestFit="1" customWidth="1"/>
    <col min="2818" max="2818" width="47" bestFit="1" customWidth="1"/>
    <col min="2819" max="3072" width="8.83203125" customWidth="1"/>
    <col min="3073" max="3073" width="11.5" bestFit="1" customWidth="1"/>
    <col min="3074" max="3074" width="47" bestFit="1" customWidth="1"/>
    <col min="3075" max="3328" width="8.83203125" customWidth="1"/>
    <col min="3329" max="3329" width="11.5" bestFit="1" customWidth="1"/>
    <col min="3330" max="3330" width="47" bestFit="1" customWidth="1"/>
    <col min="3331" max="3584" width="8.83203125" customWidth="1"/>
    <col min="3585" max="3585" width="11.5" bestFit="1" customWidth="1"/>
    <col min="3586" max="3586" width="47" bestFit="1" customWidth="1"/>
    <col min="3587" max="3840" width="8.83203125" customWidth="1"/>
    <col min="3841" max="3841" width="11.5" bestFit="1" customWidth="1"/>
    <col min="3842" max="3842" width="47" bestFit="1" customWidth="1"/>
    <col min="3843" max="4096" width="8.83203125" customWidth="1"/>
    <col min="4097" max="4097" width="11.5" bestFit="1" customWidth="1"/>
    <col min="4098" max="4098" width="47" bestFit="1" customWidth="1"/>
    <col min="4099" max="4352" width="8.83203125" customWidth="1"/>
    <col min="4353" max="4353" width="11.5" bestFit="1" customWidth="1"/>
    <col min="4354" max="4354" width="47" bestFit="1" customWidth="1"/>
    <col min="4355" max="4608" width="8.83203125" customWidth="1"/>
    <col min="4609" max="4609" width="11.5" bestFit="1" customWidth="1"/>
    <col min="4610" max="4610" width="47" bestFit="1" customWidth="1"/>
    <col min="4611" max="4864" width="8.83203125" customWidth="1"/>
    <col min="4865" max="4865" width="11.5" bestFit="1" customWidth="1"/>
    <col min="4866" max="4866" width="47" bestFit="1" customWidth="1"/>
    <col min="4867" max="5120" width="8.83203125" customWidth="1"/>
    <col min="5121" max="5121" width="11.5" bestFit="1" customWidth="1"/>
    <col min="5122" max="5122" width="47" bestFit="1" customWidth="1"/>
    <col min="5123" max="5376" width="8.83203125" customWidth="1"/>
    <col min="5377" max="5377" width="11.5" bestFit="1" customWidth="1"/>
    <col min="5378" max="5378" width="47" bestFit="1" customWidth="1"/>
    <col min="5379" max="5632" width="8.83203125" customWidth="1"/>
    <col min="5633" max="5633" width="11.5" bestFit="1" customWidth="1"/>
    <col min="5634" max="5634" width="47" bestFit="1" customWidth="1"/>
    <col min="5635" max="5888" width="8.83203125" customWidth="1"/>
    <col min="5889" max="5889" width="11.5" bestFit="1" customWidth="1"/>
    <col min="5890" max="5890" width="47" bestFit="1" customWidth="1"/>
    <col min="5891" max="6144" width="8.83203125" customWidth="1"/>
    <col min="6145" max="6145" width="11.5" bestFit="1" customWidth="1"/>
    <col min="6146" max="6146" width="47" bestFit="1" customWidth="1"/>
    <col min="6147" max="6400" width="8.83203125" customWidth="1"/>
    <col min="6401" max="6401" width="11.5" bestFit="1" customWidth="1"/>
    <col min="6402" max="6402" width="47" bestFit="1" customWidth="1"/>
    <col min="6403" max="6656" width="8.83203125" customWidth="1"/>
    <col min="6657" max="6657" width="11.5" bestFit="1" customWidth="1"/>
    <col min="6658" max="6658" width="47" bestFit="1" customWidth="1"/>
    <col min="6659" max="6912" width="8.83203125" customWidth="1"/>
    <col min="6913" max="6913" width="11.5" bestFit="1" customWidth="1"/>
    <col min="6914" max="6914" width="47" bestFit="1" customWidth="1"/>
    <col min="6915" max="7168" width="8.83203125" customWidth="1"/>
    <col min="7169" max="7169" width="11.5" bestFit="1" customWidth="1"/>
    <col min="7170" max="7170" width="47" bestFit="1" customWidth="1"/>
    <col min="7171" max="7424" width="8.83203125" customWidth="1"/>
    <col min="7425" max="7425" width="11.5" bestFit="1" customWidth="1"/>
    <col min="7426" max="7426" width="47" bestFit="1" customWidth="1"/>
    <col min="7427" max="7680" width="8.83203125" customWidth="1"/>
    <col min="7681" max="7681" width="11.5" bestFit="1" customWidth="1"/>
    <col min="7682" max="7682" width="47" bestFit="1" customWidth="1"/>
    <col min="7683" max="7936" width="8.83203125" customWidth="1"/>
    <col min="7937" max="7937" width="11.5" bestFit="1" customWidth="1"/>
    <col min="7938" max="7938" width="47" bestFit="1" customWidth="1"/>
    <col min="7939" max="8192" width="8.83203125" customWidth="1"/>
    <col min="8193" max="8193" width="11.5" bestFit="1" customWidth="1"/>
    <col min="8194" max="8194" width="47" bestFit="1" customWidth="1"/>
    <col min="8195" max="8448" width="8.83203125" customWidth="1"/>
    <col min="8449" max="8449" width="11.5" bestFit="1" customWidth="1"/>
    <col min="8450" max="8450" width="47" bestFit="1" customWidth="1"/>
    <col min="8451" max="8704" width="8.83203125" customWidth="1"/>
    <col min="8705" max="8705" width="11.5" bestFit="1" customWidth="1"/>
    <col min="8706" max="8706" width="47" bestFit="1" customWidth="1"/>
    <col min="8707" max="8960" width="8.83203125" customWidth="1"/>
    <col min="8961" max="8961" width="11.5" bestFit="1" customWidth="1"/>
    <col min="8962" max="8962" width="47" bestFit="1" customWidth="1"/>
    <col min="8963" max="9216" width="8.83203125" customWidth="1"/>
    <col min="9217" max="9217" width="11.5" bestFit="1" customWidth="1"/>
    <col min="9218" max="9218" width="47" bestFit="1" customWidth="1"/>
    <col min="9219" max="9472" width="8.83203125" customWidth="1"/>
    <col min="9473" max="9473" width="11.5" bestFit="1" customWidth="1"/>
    <col min="9474" max="9474" width="47" bestFit="1" customWidth="1"/>
    <col min="9475" max="9728" width="8.83203125" customWidth="1"/>
    <col min="9729" max="9729" width="11.5" bestFit="1" customWidth="1"/>
    <col min="9730" max="9730" width="47" bestFit="1" customWidth="1"/>
    <col min="9731" max="9984" width="8.83203125" customWidth="1"/>
    <col min="9985" max="9985" width="11.5" bestFit="1" customWidth="1"/>
    <col min="9986" max="9986" width="47" bestFit="1" customWidth="1"/>
    <col min="9987" max="10240" width="8.83203125" customWidth="1"/>
    <col min="10241" max="10241" width="11.5" bestFit="1" customWidth="1"/>
    <col min="10242" max="10242" width="47" bestFit="1" customWidth="1"/>
    <col min="10243" max="10496" width="8.83203125" customWidth="1"/>
    <col min="10497" max="10497" width="11.5" bestFit="1" customWidth="1"/>
    <col min="10498" max="10498" width="47" bestFit="1" customWidth="1"/>
    <col min="10499" max="10752" width="8.83203125" customWidth="1"/>
    <col min="10753" max="10753" width="11.5" bestFit="1" customWidth="1"/>
    <col min="10754" max="10754" width="47" bestFit="1" customWidth="1"/>
    <col min="10755" max="11008" width="8.83203125" customWidth="1"/>
    <col min="11009" max="11009" width="11.5" bestFit="1" customWidth="1"/>
    <col min="11010" max="11010" width="47" bestFit="1" customWidth="1"/>
    <col min="11011" max="11264" width="8.83203125" customWidth="1"/>
    <col min="11265" max="11265" width="11.5" bestFit="1" customWidth="1"/>
    <col min="11266" max="11266" width="47" bestFit="1" customWidth="1"/>
    <col min="11267" max="11520" width="8.83203125" customWidth="1"/>
    <col min="11521" max="11521" width="11.5" bestFit="1" customWidth="1"/>
    <col min="11522" max="11522" width="47" bestFit="1" customWidth="1"/>
    <col min="11523" max="11776" width="8.83203125" customWidth="1"/>
    <col min="11777" max="11777" width="11.5" bestFit="1" customWidth="1"/>
    <col min="11778" max="11778" width="47" bestFit="1" customWidth="1"/>
    <col min="11779" max="12032" width="8.83203125" customWidth="1"/>
    <col min="12033" max="12033" width="11.5" bestFit="1" customWidth="1"/>
    <col min="12034" max="12034" width="47" bestFit="1" customWidth="1"/>
    <col min="12035" max="12288" width="8.83203125" customWidth="1"/>
    <col min="12289" max="12289" width="11.5" bestFit="1" customWidth="1"/>
    <col min="12290" max="12290" width="47" bestFit="1" customWidth="1"/>
    <col min="12291" max="12544" width="8.83203125" customWidth="1"/>
    <col min="12545" max="12545" width="11.5" bestFit="1" customWidth="1"/>
    <col min="12546" max="12546" width="47" bestFit="1" customWidth="1"/>
    <col min="12547" max="12800" width="8.83203125" customWidth="1"/>
    <col min="12801" max="12801" width="11.5" bestFit="1" customWidth="1"/>
    <col min="12802" max="12802" width="47" bestFit="1" customWidth="1"/>
    <col min="12803" max="13056" width="8.83203125" customWidth="1"/>
    <col min="13057" max="13057" width="11.5" bestFit="1" customWidth="1"/>
    <col min="13058" max="13058" width="47" bestFit="1" customWidth="1"/>
    <col min="13059" max="13312" width="8.83203125" customWidth="1"/>
    <col min="13313" max="13313" width="11.5" bestFit="1" customWidth="1"/>
    <col min="13314" max="13314" width="47" bestFit="1" customWidth="1"/>
    <col min="13315" max="13568" width="8.83203125" customWidth="1"/>
    <col min="13569" max="13569" width="11.5" bestFit="1" customWidth="1"/>
    <col min="13570" max="13570" width="47" bestFit="1" customWidth="1"/>
    <col min="13571" max="13824" width="8.83203125" customWidth="1"/>
    <col min="13825" max="13825" width="11.5" bestFit="1" customWidth="1"/>
    <col min="13826" max="13826" width="47" bestFit="1" customWidth="1"/>
    <col min="13827" max="14080" width="8.83203125" customWidth="1"/>
    <col min="14081" max="14081" width="11.5" bestFit="1" customWidth="1"/>
    <col min="14082" max="14082" width="47" bestFit="1" customWidth="1"/>
    <col min="14083" max="14336" width="8.83203125" customWidth="1"/>
    <col min="14337" max="14337" width="11.5" bestFit="1" customWidth="1"/>
    <col min="14338" max="14338" width="47" bestFit="1" customWidth="1"/>
    <col min="14339" max="14592" width="8.83203125" customWidth="1"/>
    <col min="14593" max="14593" width="11.5" bestFit="1" customWidth="1"/>
    <col min="14594" max="14594" width="47" bestFit="1" customWidth="1"/>
    <col min="14595" max="14848" width="8.83203125" customWidth="1"/>
    <col min="14849" max="14849" width="11.5" bestFit="1" customWidth="1"/>
    <col min="14850" max="14850" width="47" bestFit="1" customWidth="1"/>
    <col min="14851" max="15104" width="8.83203125" customWidth="1"/>
    <col min="15105" max="15105" width="11.5" bestFit="1" customWidth="1"/>
    <col min="15106" max="15106" width="47" bestFit="1" customWidth="1"/>
    <col min="15107" max="15360" width="8.83203125" customWidth="1"/>
    <col min="15361" max="15361" width="11.5" bestFit="1" customWidth="1"/>
    <col min="15362" max="15362" width="47" bestFit="1" customWidth="1"/>
    <col min="15363" max="15616" width="8.83203125" customWidth="1"/>
    <col min="15617" max="15617" width="11.5" bestFit="1" customWidth="1"/>
    <col min="15618" max="15618" width="47" bestFit="1" customWidth="1"/>
    <col min="15619" max="15872" width="8.83203125" customWidth="1"/>
    <col min="15873" max="15873" width="11.5" bestFit="1" customWidth="1"/>
    <col min="15874" max="15874" width="47" bestFit="1" customWidth="1"/>
    <col min="15875" max="16128" width="8.83203125" customWidth="1"/>
    <col min="16129" max="16129" width="11.5" bestFit="1" customWidth="1"/>
    <col min="16130" max="16130" width="47" bestFit="1" customWidth="1"/>
    <col min="16131" max="16384" width="8.83203125" customWidth="1"/>
  </cols>
  <sheetData>
    <row r="34" spans="1:2" x14ac:dyDescent="0.15">
      <c r="A34" t="s">
        <v>4</v>
      </c>
      <c r="B34" s="3">
        <f>AVERAGE(B37:B288)</f>
        <v>70.482420634920658</v>
      </c>
    </row>
    <row r="35" spans="1:2" x14ac:dyDescent="0.15">
      <c r="A35" t="s">
        <v>5</v>
      </c>
      <c r="B35">
        <f>STDEV(B37:B288)</f>
        <v>2.8363740273733575</v>
      </c>
    </row>
    <row r="36" spans="1:2" x14ac:dyDescent="0.15">
      <c r="A36" t="s">
        <v>0</v>
      </c>
      <c r="B36" t="s">
        <v>13</v>
      </c>
    </row>
    <row r="37" spans="1:2" x14ac:dyDescent="0.15">
      <c r="A37" s="11">
        <v>43525</v>
      </c>
      <c r="B37" s="3">
        <v>66</v>
      </c>
    </row>
    <row r="38" spans="1:2" x14ac:dyDescent="0.15">
      <c r="A38" s="11">
        <v>43528</v>
      </c>
      <c r="B38" s="3">
        <v>66.03</v>
      </c>
    </row>
    <row r="39" spans="1:2" x14ac:dyDescent="0.15">
      <c r="A39" s="11">
        <v>43529</v>
      </c>
      <c r="B39" s="3">
        <v>65.72</v>
      </c>
    </row>
    <row r="40" spans="1:2" x14ac:dyDescent="0.15">
      <c r="A40" s="11">
        <v>43530</v>
      </c>
      <c r="B40" s="3">
        <v>65.61</v>
      </c>
    </row>
    <row r="41" spans="1:2" x14ac:dyDescent="0.15">
      <c r="A41" s="11">
        <v>43531</v>
      </c>
      <c r="B41" s="3">
        <v>65.34</v>
      </c>
    </row>
    <row r="42" spans="1:2" x14ac:dyDescent="0.15">
      <c r="A42" s="11">
        <v>43532</v>
      </c>
      <c r="B42" s="3">
        <v>65.349999999999994</v>
      </c>
    </row>
    <row r="43" spans="1:2" x14ac:dyDescent="0.15">
      <c r="A43" s="11">
        <v>43535</v>
      </c>
      <c r="B43" s="3">
        <v>65.849999999999994</v>
      </c>
    </row>
    <row r="44" spans="1:2" x14ac:dyDescent="0.15">
      <c r="A44" s="11">
        <v>43536</v>
      </c>
      <c r="B44" s="3">
        <v>65.739999999999995</v>
      </c>
    </row>
    <row r="45" spans="1:2" x14ac:dyDescent="0.15">
      <c r="A45" s="11">
        <v>43537</v>
      </c>
      <c r="B45" s="3">
        <v>66.52</v>
      </c>
    </row>
    <row r="46" spans="1:2" x14ac:dyDescent="0.15">
      <c r="A46" s="11">
        <v>43538</v>
      </c>
      <c r="B46" s="3">
        <v>66.25</v>
      </c>
    </row>
    <row r="47" spans="1:2" x14ac:dyDescent="0.15">
      <c r="A47" s="11">
        <v>43539</v>
      </c>
      <c r="B47" s="3">
        <v>67.2</v>
      </c>
    </row>
    <row r="48" spans="1:2" x14ac:dyDescent="0.15">
      <c r="A48" s="11">
        <v>43542</v>
      </c>
      <c r="B48" s="3">
        <v>66.290000000000006</v>
      </c>
    </row>
    <row r="49" spans="1:2" x14ac:dyDescent="0.15">
      <c r="A49" s="11">
        <v>43543</v>
      </c>
      <c r="B49" s="3">
        <v>65.75</v>
      </c>
    </row>
    <row r="50" spans="1:2" x14ac:dyDescent="0.15">
      <c r="A50" s="11">
        <v>43544</v>
      </c>
      <c r="B50" s="3">
        <v>65.11</v>
      </c>
    </row>
    <row r="51" spans="1:2" x14ac:dyDescent="0.15">
      <c r="A51" s="11">
        <v>43545</v>
      </c>
      <c r="B51" s="3">
        <v>65.83</v>
      </c>
    </row>
    <row r="52" spans="1:2" x14ac:dyDescent="0.15">
      <c r="A52" s="11">
        <v>43546</v>
      </c>
      <c r="B52" s="3">
        <v>66</v>
      </c>
    </row>
    <row r="53" spans="1:2" x14ac:dyDescent="0.15">
      <c r="A53" s="11">
        <v>43549</v>
      </c>
      <c r="B53" s="3">
        <v>66.260000000000005</v>
      </c>
    </row>
    <row r="54" spans="1:2" x14ac:dyDescent="0.15">
      <c r="A54" s="11">
        <v>43550</v>
      </c>
      <c r="B54" s="3">
        <v>66.92</v>
      </c>
    </row>
    <row r="55" spans="1:2" x14ac:dyDescent="0.15">
      <c r="A55" s="11">
        <v>43551</v>
      </c>
      <c r="B55" s="3">
        <v>67.010000000000005</v>
      </c>
    </row>
    <row r="56" spans="1:2" x14ac:dyDescent="0.15">
      <c r="A56" s="11">
        <v>43552</v>
      </c>
      <c r="B56" s="3">
        <v>67.37</v>
      </c>
    </row>
    <row r="57" spans="1:2" x14ac:dyDescent="0.15">
      <c r="A57" s="11">
        <v>43553</v>
      </c>
      <c r="B57" s="3">
        <v>68.540000000000006</v>
      </c>
    </row>
    <row r="58" spans="1:2" x14ac:dyDescent="0.15">
      <c r="A58" s="11">
        <v>43556</v>
      </c>
      <c r="B58" s="3">
        <v>68.3</v>
      </c>
    </row>
    <row r="59" spans="1:2" x14ac:dyDescent="0.15">
      <c r="A59" s="11">
        <v>43557</v>
      </c>
      <c r="B59" s="3">
        <v>68.37</v>
      </c>
    </row>
    <row r="60" spans="1:2" x14ac:dyDescent="0.15">
      <c r="A60" s="11">
        <v>43558</v>
      </c>
      <c r="B60" s="3">
        <v>67.819999999999993</v>
      </c>
    </row>
    <row r="61" spans="1:2" x14ac:dyDescent="0.15">
      <c r="A61" s="11">
        <v>43559</v>
      </c>
      <c r="B61" s="3">
        <v>67.55</v>
      </c>
    </row>
    <row r="62" spans="1:2" x14ac:dyDescent="0.15">
      <c r="A62" s="11">
        <v>43560</v>
      </c>
      <c r="B62" s="3">
        <v>67.92</v>
      </c>
    </row>
    <row r="63" spans="1:2" x14ac:dyDescent="0.15">
      <c r="A63" s="11">
        <v>43563</v>
      </c>
      <c r="B63" s="3">
        <v>68.02</v>
      </c>
    </row>
    <row r="64" spans="1:2" x14ac:dyDescent="0.15">
      <c r="A64" s="11">
        <v>43564</v>
      </c>
      <c r="B64" s="3">
        <v>68.11</v>
      </c>
    </row>
    <row r="65" spans="1:2" x14ac:dyDescent="0.15">
      <c r="A65" s="11">
        <v>43565</v>
      </c>
      <c r="B65" s="3">
        <v>68.11</v>
      </c>
    </row>
    <row r="66" spans="1:2" x14ac:dyDescent="0.15">
      <c r="A66" s="11">
        <v>43566</v>
      </c>
      <c r="B66" s="3">
        <v>68.09</v>
      </c>
    </row>
    <row r="67" spans="1:2" x14ac:dyDescent="0.15">
      <c r="A67" s="11">
        <v>43567</v>
      </c>
      <c r="B67" s="3">
        <v>68.77</v>
      </c>
    </row>
    <row r="68" spans="1:2" x14ac:dyDescent="0.15">
      <c r="A68" s="11">
        <v>43570</v>
      </c>
      <c r="B68" s="3">
        <v>68.709999999999994</v>
      </c>
    </row>
    <row r="69" spans="1:2" x14ac:dyDescent="0.15">
      <c r="A69" s="11">
        <v>43571</v>
      </c>
      <c r="B69" s="3">
        <v>69.040000000000006</v>
      </c>
    </row>
    <row r="70" spans="1:2" x14ac:dyDescent="0.15">
      <c r="A70" s="11">
        <v>43572</v>
      </c>
      <c r="B70" s="3">
        <v>68.680000000000007</v>
      </c>
    </row>
    <row r="71" spans="1:2" x14ac:dyDescent="0.15">
      <c r="A71" s="11">
        <v>43573</v>
      </c>
      <c r="B71" s="3">
        <v>69.349999999999994</v>
      </c>
    </row>
    <row r="72" spans="1:2" x14ac:dyDescent="0.15">
      <c r="A72" s="11">
        <v>43577</v>
      </c>
      <c r="B72" s="3">
        <v>69.599999999999994</v>
      </c>
    </row>
    <row r="73" spans="1:2" x14ac:dyDescent="0.15">
      <c r="A73" s="11">
        <v>43578</v>
      </c>
      <c r="B73" s="3">
        <v>69.010000000000005</v>
      </c>
    </row>
    <row r="74" spans="1:2" x14ac:dyDescent="0.15">
      <c r="A74" s="11">
        <v>43579</v>
      </c>
      <c r="B74" s="3">
        <v>68.86</v>
      </c>
    </row>
    <row r="75" spans="1:2" x14ac:dyDescent="0.15">
      <c r="A75" s="11">
        <v>43580</v>
      </c>
      <c r="B75" s="3">
        <v>68.69</v>
      </c>
    </row>
    <row r="76" spans="1:2" x14ac:dyDescent="0.15">
      <c r="A76" s="11">
        <v>43581</v>
      </c>
      <c r="B76" s="3">
        <v>71.3</v>
      </c>
    </row>
    <row r="77" spans="1:2" x14ac:dyDescent="0.15">
      <c r="A77" s="11">
        <v>43584</v>
      </c>
      <c r="B77" s="3">
        <v>71.38</v>
      </c>
    </row>
    <row r="78" spans="1:2" x14ac:dyDescent="0.15">
      <c r="A78" s="11">
        <v>43585</v>
      </c>
      <c r="B78" s="3">
        <v>72.790000000000006</v>
      </c>
    </row>
    <row r="79" spans="1:2" x14ac:dyDescent="0.15">
      <c r="A79" s="11">
        <v>43586</v>
      </c>
      <c r="B79" s="3">
        <v>71.290000000000006</v>
      </c>
    </row>
    <row r="80" spans="1:2" x14ac:dyDescent="0.15">
      <c r="A80" s="11">
        <v>43587</v>
      </c>
      <c r="B80" s="3">
        <v>71.819999999999993</v>
      </c>
    </row>
    <row r="81" spans="1:2" x14ac:dyDescent="0.15">
      <c r="A81" s="11">
        <v>43588</v>
      </c>
      <c r="B81" s="3">
        <v>71.95</v>
      </c>
    </row>
    <row r="82" spans="1:2" x14ac:dyDescent="0.15">
      <c r="A82" s="11">
        <v>43591</v>
      </c>
      <c r="B82" s="3">
        <v>71.69</v>
      </c>
    </row>
    <row r="83" spans="1:2" x14ac:dyDescent="0.15">
      <c r="A83" s="11">
        <v>43592</v>
      </c>
      <c r="B83" s="3">
        <v>70.510000000000005</v>
      </c>
    </row>
    <row r="84" spans="1:2" x14ac:dyDescent="0.15">
      <c r="A84" s="11">
        <v>43593</v>
      </c>
      <c r="B84" s="3">
        <v>70.989999999999995</v>
      </c>
    </row>
    <row r="85" spans="1:2" x14ac:dyDescent="0.15">
      <c r="A85" s="11">
        <v>43594</v>
      </c>
      <c r="B85" s="3">
        <v>70.849999999999994</v>
      </c>
    </row>
    <row r="86" spans="1:2" x14ac:dyDescent="0.15">
      <c r="A86" s="11">
        <v>43595</v>
      </c>
      <c r="B86" s="3">
        <v>71.5</v>
      </c>
    </row>
    <row r="87" spans="1:2" x14ac:dyDescent="0.15">
      <c r="A87" s="11">
        <v>43598</v>
      </c>
      <c r="B87" s="3">
        <v>71.56</v>
      </c>
    </row>
    <row r="88" spans="1:2" x14ac:dyDescent="0.15">
      <c r="A88" s="11">
        <v>43599</v>
      </c>
      <c r="B88" s="3">
        <v>71.150000000000006</v>
      </c>
    </row>
    <row r="89" spans="1:2" x14ac:dyDescent="0.15">
      <c r="A89" s="11">
        <v>43600</v>
      </c>
      <c r="B89" s="3">
        <v>71.34</v>
      </c>
    </row>
    <row r="90" spans="1:2" x14ac:dyDescent="0.15">
      <c r="A90" s="11">
        <v>43601</v>
      </c>
      <c r="B90" s="3">
        <v>72.5</v>
      </c>
    </row>
    <row r="91" spans="1:2" x14ac:dyDescent="0.15">
      <c r="A91" s="11">
        <v>43602</v>
      </c>
      <c r="B91" s="3">
        <v>71.97</v>
      </c>
    </row>
    <row r="92" spans="1:2" x14ac:dyDescent="0.15">
      <c r="A92" s="11">
        <v>43605</v>
      </c>
      <c r="B92" s="3">
        <v>71.7</v>
      </c>
    </row>
    <row r="93" spans="1:2" x14ac:dyDescent="0.15">
      <c r="A93" s="11">
        <v>43606</v>
      </c>
      <c r="B93" s="3">
        <v>71.53</v>
      </c>
    </row>
    <row r="94" spans="1:2" x14ac:dyDescent="0.15">
      <c r="A94" s="11">
        <v>43607</v>
      </c>
      <c r="B94" s="3">
        <v>71.53</v>
      </c>
    </row>
    <row r="95" spans="1:2" x14ac:dyDescent="0.15">
      <c r="A95" s="11">
        <v>43608</v>
      </c>
      <c r="B95" s="3">
        <v>71.75</v>
      </c>
    </row>
    <row r="96" spans="1:2" x14ac:dyDescent="0.15">
      <c r="A96" s="11">
        <v>43609</v>
      </c>
      <c r="B96" s="3">
        <v>71.2</v>
      </c>
    </row>
    <row r="97" spans="1:2" x14ac:dyDescent="0.15">
      <c r="A97" s="11">
        <v>43613</v>
      </c>
      <c r="B97" s="3">
        <v>70.11</v>
      </c>
    </row>
    <row r="98" spans="1:2" x14ac:dyDescent="0.15">
      <c r="A98" s="11">
        <v>43614</v>
      </c>
      <c r="B98" s="3">
        <v>69.97</v>
      </c>
    </row>
    <row r="99" spans="1:2" x14ac:dyDescent="0.15">
      <c r="A99" s="11">
        <v>43615</v>
      </c>
      <c r="B99" s="3">
        <v>70.849999999999994</v>
      </c>
    </row>
    <row r="100" spans="1:2" x14ac:dyDescent="0.15">
      <c r="A100" s="11">
        <v>43616</v>
      </c>
      <c r="B100" s="3">
        <v>69.62</v>
      </c>
    </row>
    <row r="101" spans="1:2" x14ac:dyDescent="0.15">
      <c r="A101" s="11">
        <v>43619</v>
      </c>
      <c r="B101" s="3">
        <v>70.69</v>
      </c>
    </row>
    <row r="102" spans="1:2" x14ac:dyDescent="0.15">
      <c r="A102" s="11">
        <v>43620</v>
      </c>
      <c r="B102" s="3">
        <v>70.819999999999993</v>
      </c>
    </row>
    <row r="103" spans="1:2" x14ac:dyDescent="0.15">
      <c r="A103" s="11">
        <v>43621</v>
      </c>
      <c r="B103" s="3">
        <v>71.92</v>
      </c>
    </row>
    <row r="104" spans="1:2" x14ac:dyDescent="0.15">
      <c r="A104" s="11">
        <v>43622</v>
      </c>
      <c r="B104" s="3">
        <v>73.11</v>
      </c>
    </row>
    <row r="105" spans="1:2" x14ac:dyDescent="0.15">
      <c r="A105" s="11">
        <v>43623</v>
      </c>
      <c r="B105" s="3">
        <v>73.989999999999995</v>
      </c>
    </row>
    <row r="106" spans="1:2" x14ac:dyDescent="0.15">
      <c r="A106" s="11">
        <v>43626</v>
      </c>
      <c r="B106" s="3">
        <v>73.03</v>
      </c>
    </row>
    <row r="107" spans="1:2" x14ac:dyDescent="0.15">
      <c r="A107" s="11">
        <v>43627</v>
      </c>
      <c r="B107" s="3">
        <v>73.33</v>
      </c>
    </row>
    <row r="108" spans="1:2" x14ac:dyDescent="0.15">
      <c r="A108" s="11">
        <v>43628</v>
      </c>
      <c r="B108" s="3">
        <v>73.05</v>
      </c>
    </row>
    <row r="109" spans="1:2" x14ac:dyDescent="0.15">
      <c r="A109" s="11">
        <v>43629</v>
      </c>
      <c r="B109" s="3">
        <v>72.75</v>
      </c>
    </row>
    <row r="110" spans="1:2" x14ac:dyDescent="0.15">
      <c r="A110" s="11">
        <v>43630</v>
      </c>
      <c r="B110" s="3">
        <v>73.349999999999994</v>
      </c>
    </row>
    <row r="111" spans="1:2" x14ac:dyDescent="0.15">
      <c r="A111" s="11">
        <v>43633</v>
      </c>
      <c r="B111" s="3">
        <v>73.41</v>
      </c>
    </row>
    <row r="112" spans="1:2" x14ac:dyDescent="0.15">
      <c r="A112" s="11">
        <v>43634</v>
      </c>
      <c r="B112" s="3">
        <v>72.89</v>
      </c>
    </row>
    <row r="113" spans="1:2" x14ac:dyDescent="0.15">
      <c r="A113" s="11">
        <v>43635</v>
      </c>
      <c r="B113" s="3">
        <v>73.53</v>
      </c>
    </row>
    <row r="114" spans="1:2" x14ac:dyDescent="0.15">
      <c r="A114" s="11">
        <v>43636</v>
      </c>
      <c r="B114" s="3">
        <v>73.599999999999994</v>
      </c>
    </row>
    <row r="115" spans="1:2" x14ac:dyDescent="0.15">
      <c r="A115" s="11">
        <v>43637</v>
      </c>
      <c r="B115" s="3">
        <v>72.95</v>
      </c>
    </row>
    <row r="116" spans="1:2" x14ac:dyDescent="0.15">
      <c r="A116" s="11">
        <v>43640</v>
      </c>
      <c r="B116" s="3">
        <v>73.97</v>
      </c>
    </row>
    <row r="117" spans="1:2" x14ac:dyDescent="0.15">
      <c r="A117" s="11">
        <v>43641</v>
      </c>
      <c r="B117" s="3">
        <v>73.91</v>
      </c>
    </row>
    <row r="118" spans="1:2" x14ac:dyDescent="0.15">
      <c r="A118" s="11">
        <v>43642</v>
      </c>
      <c r="B118" s="3">
        <v>72.349999999999994</v>
      </c>
    </row>
    <row r="119" spans="1:2" x14ac:dyDescent="0.15">
      <c r="A119" s="11">
        <v>43643</v>
      </c>
      <c r="B119" s="3">
        <v>72.14</v>
      </c>
    </row>
    <row r="120" spans="1:2" x14ac:dyDescent="0.15">
      <c r="A120" s="11">
        <v>43644</v>
      </c>
      <c r="B120" s="3">
        <v>71.67</v>
      </c>
    </row>
    <row r="121" spans="1:2" x14ac:dyDescent="0.15">
      <c r="A121" s="11">
        <v>43647</v>
      </c>
      <c r="B121" s="3">
        <v>72.08</v>
      </c>
    </row>
    <row r="122" spans="1:2" x14ac:dyDescent="0.15">
      <c r="A122" s="11">
        <v>43648</v>
      </c>
      <c r="B122" s="3">
        <v>72.739999999999995</v>
      </c>
    </row>
    <row r="123" spans="1:2" x14ac:dyDescent="0.15">
      <c r="A123" s="11">
        <v>43649</v>
      </c>
      <c r="B123" s="3">
        <v>74</v>
      </c>
    </row>
    <row r="124" spans="1:2" x14ac:dyDescent="0.15">
      <c r="A124" s="11">
        <v>43651</v>
      </c>
      <c r="B124" s="3">
        <v>73.14</v>
      </c>
    </row>
    <row r="125" spans="1:2" x14ac:dyDescent="0.15">
      <c r="A125" s="11">
        <v>43654</v>
      </c>
      <c r="B125" s="3">
        <v>73.38</v>
      </c>
    </row>
    <row r="126" spans="1:2" x14ac:dyDescent="0.15">
      <c r="A126" s="11">
        <v>43655</v>
      </c>
      <c r="B126" s="3">
        <v>73.11</v>
      </c>
    </row>
    <row r="127" spans="1:2" x14ac:dyDescent="0.15">
      <c r="A127" s="11">
        <v>43656</v>
      </c>
      <c r="B127" s="3">
        <v>73.489999999999995</v>
      </c>
    </row>
    <row r="128" spans="1:2" x14ac:dyDescent="0.15">
      <c r="A128" s="11">
        <v>43657</v>
      </c>
      <c r="B128" s="3">
        <v>73.89</v>
      </c>
    </row>
    <row r="129" spans="1:2" x14ac:dyDescent="0.15">
      <c r="A129" s="11">
        <v>43658</v>
      </c>
      <c r="B129" s="3">
        <v>74.38</v>
      </c>
    </row>
    <row r="130" spans="1:2" x14ac:dyDescent="0.15">
      <c r="A130" s="11">
        <v>43661</v>
      </c>
      <c r="B130" s="3">
        <v>74</v>
      </c>
    </row>
    <row r="131" spans="1:2" x14ac:dyDescent="0.15">
      <c r="A131" s="11">
        <v>43662</v>
      </c>
      <c r="B131" s="3">
        <v>74.5</v>
      </c>
    </row>
    <row r="132" spans="1:2" x14ac:dyDescent="0.15">
      <c r="A132" s="11">
        <v>43663</v>
      </c>
      <c r="B132" s="3">
        <v>73.75</v>
      </c>
    </row>
    <row r="133" spans="1:2" x14ac:dyDescent="0.15">
      <c r="A133" s="11">
        <v>43664</v>
      </c>
      <c r="B133" s="3">
        <v>73.88</v>
      </c>
    </row>
    <row r="134" spans="1:2" x14ac:dyDescent="0.15">
      <c r="A134" s="11">
        <v>43665</v>
      </c>
      <c r="B134" s="3">
        <v>72.7</v>
      </c>
    </row>
    <row r="135" spans="1:2" x14ac:dyDescent="0.15">
      <c r="A135" s="11">
        <v>43668</v>
      </c>
      <c r="B135" s="3">
        <v>72.349999999999994</v>
      </c>
    </row>
    <row r="136" spans="1:2" x14ac:dyDescent="0.15">
      <c r="A136" s="11">
        <v>43669</v>
      </c>
      <c r="B136" s="3">
        <v>72.28</v>
      </c>
    </row>
    <row r="137" spans="1:2" x14ac:dyDescent="0.15">
      <c r="A137" s="11">
        <v>43670</v>
      </c>
      <c r="B137" s="3">
        <v>71.28</v>
      </c>
    </row>
    <row r="138" spans="1:2" x14ac:dyDescent="0.15">
      <c r="A138" s="11">
        <v>43671</v>
      </c>
      <c r="B138" s="3">
        <v>71.930000000000007</v>
      </c>
    </row>
    <row r="139" spans="1:2" x14ac:dyDescent="0.15">
      <c r="A139" s="11">
        <v>43672</v>
      </c>
      <c r="B139" s="3">
        <v>73.69</v>
      </c>
    </row>
    <row r="140" spans="1:2" x14ac:dyDescent="0.15">
      <c r="A140" s="11">
        <v>43675</v>
      </c>
      <c r="B140" s="3">
        <v>75.569999999999993</v>
      </c>
    </row>
    <row r="141" spans="1:2" x14ac:dyDescent="0.15">
      <c r="A141" s="11">
        <v>43676</v>
      </c>
      <c r="B141" s="3">
        <v>74.739999999999995</v>
      </c>
    </row>
    <row r="142" spans="1:2" x14ac:dyDescent="0.15">
      <c r="A142" s="11">
        <v>43677</v>
      </c>
      <c r="B142" s="3">
        <v>71.739999999999995</v>
      </c>
    </row>
    <row r="143" spans="1:2" x14ac:dyDescent="0.15">
      <c r="A143" s="11">
        <v>43678</v>
      </c>
      <c r="B143" s="3">
        <v>71.260000000000005</v>
      </c>
    </row>
    <row r="144" spans="1:2" x14ac:dyDescent="0.15">
      <c r="A144" s="11">
        <v>43679</v>
      </c>
      <c r="B144" s="3">
        <v>71.2</v>
      </c>
    </row>
    <row r="145" spans="1:2" x14ac:dyDescent="0.15">
      <c r="A145" s="11">
        <v>43682</v>
      </c>
      <c r="B145" s="3">
        <v>68.8</v>
      </c>
    </row>
    <row r="146" spans="1:2" x14ac:dyDescent="0.15">
      <c r="A146" s="11">
        <v>43683</v>
      </c>
      <c r="B146" s="3">
        <v>69.849999999999994</v>
      </c>
    </row>
    <row r="147" spans="1:2" x14ac:dyDescent="0.15">
      <c r="A147" s="11">
        <v>43684</v>
      </c>
      <c r="B147" s="3">
        <v>70.44</v>
      </c>
    </row>
    <row r="148" spans="1:2" x14ac:dyDescent="0.15">
      <c r="A148" s="11">
        <v>43685</v>
      </c>
      <c r="B148" s="3">
        <v>71.709999999999994</v>
      </c>
    </row>
    <row r="149" spans="1:2" x14ac:dyDescent="0.15">
      <c r="A149" s="11">
        <v>43686</v>
      </c>
      <c r="B149" s="3">
        <v>71.52</v>
      </c>
    </row>
    <row r="150" spans="1:2" x14ac:dyDescent="0.15">
      <c r="A150" s="11">
        <v>43689</v>
      </c>
      <c r="B150" s="3">
        <v>70.73</v>
      </c>
    </row>
    <row r="151" spans="1:2" x14ac:dyDescent="0.15">
      <c r="A151" s="11">
        <v>43690</v>
      </c>
      <c r="B151" s="3">
        <v>71.69</v>
      </c>
    </row>
    <row r="152" spans="1:2" x14ac:dyDescent="0.15">
      <c r="A152" s="11">
        <v>43691</v>
      </c>
      <c r="B152" s="3">
        <v>70.52</v>
      </c>
    </row>
    <row r="153" spans="1:2" x14ac:dyDescent="0.15">
      <c r="A153" s="11">
        <v>43692</v>
      </c>
      <c r="B153" s="3">
        <v>71.37</v>
      </c>
    </row>
    <row r="154" spans="1:2" x14ac:dyDescent="0.15">
      <c r="A154" s="11">
        <v>43693</v>
      </c>
      <c r="B154" s="3">
        <v>72.28</v>
      </c>
    </row>
    <row r="155" spans="1:2" x14ac:dyDescent="0.15">
      <c r="A155" s="11">
        <v>43696</v>
      </c>
      <c r="B155" s="3">
        <v>73.08</v>
      </c>
    </row>
    <row r="156" spans="1:2" x14ac:dyDescent="0.15">
      <c r="A156" s="11">
        <v>43697</v>
      </c>
      <c r="B156" s="3">
        <v>72.540000000000006</v>
      </c>
    </row>
    <row r="157" spans="1:2" x14ac:dyDescent="0.15">
      <c r="A157" s="11">
        <v>43698</v>
      </c>
      <c r="B157" s="3">
        <v>72.61</v>
      </c>
    </row>
    <row r="158" spans="1:2" x14ac:dyDescent="0.15">
      <c r="A158" s="11">
        <v>43699</v>
      </c>
      <c r="B158" s="3">
        <v>73.040000000000006</v>
      </c>
    </row>
    <row r="159" spans="1:2" x14ac:dyDescent="0.15">
      <c r="A159" s="11">
        <v>43700</v>
      </c>
      <c r="B159" s="3">
        <v>72.23</v>
      </c>
    </row>
    <row r="160" spans="1:2" x14ac:dyDescent="0.15">
      <c r="A160" s="11">
        <v>43703</v>
      </c>
      <c r="B160" s="3">
        <v>72.77</v>
      </c>
    </row>
    <row r="161" spans="1:2" x14ac:dyDescent="0.15">
      <c r="A161" s="11">
        <v>43704</v>
      </c>
      <c r="B161" s="3">
        <v>73.44</v>
      </c>
    </row>
    <row r="162" spans="1:2" x14ac:dyDescent="0.15">
      <c r="A162" s="11">
        <v>43705</v>
      </c>
      <c r="B162" s="3">
        <v>74</v>
      </c>
    </row>
    <row r="163" spans="1:2" x14ac:dyDescent="0.15">
      <c r="A163" s="11">
        <v>43706</v>
      </c>
      <c r="B163" s="3">
        <v>74.2</v>
      </c>
    </row>
    <row r="164" spans="1:2" x14ac:dyDescent="0.15">
      <c r="A164" s="11">
        <v>43707</v>
      </c>
      <c r="B164" s="3">
        <v>74.150000000000006</v>
      </c>
    </row>
    <row r="165" spans="1:2" x14ac:dyDescent="0.15">
      <c r="A165" s="11">
        <v>43711</v>
      </c>
      <c r="B165" s="3">
        <v>74.31</v>
      </c>
    </row>
    <row r="166" spans="1:2" x14ac:dyDescent="0.15">
      <c r="A166" s="11">
        <v>43712</v>
      </c>
      <c r="B166" s="3">
        <v>74.87</v>
      </c>
    </row>
    <row r="167" spans="1:2" x14ac:dyDescent="0.15">
      <c r="A167" s="11">
        <v>43713</v>
      </c>
      <c r="B167" s="3">
        <v>74.290000000000006</v>
      </c>
    </row>
    <row r="168" spans="1:2" x14ac:dyDescent="0.15">
      <c r="A168" s="11">
        <v>43714</v>
      </c>
      <c r="B168" s="3">
        <v>74.7</v>
      </c>
    </row>
    <row r="169" spans="1:2" x14ac:dyDescent="0.15">
      <c r="A169" s="11">
        <v>43717</v>
      </c>
      <c r="B169" s="3">
        <v>73.19</v>
      </c>
    </row>
    <row r="170" spans="1:2" x14ac:dyDescent="0.15">
      <c r="A170" s="11">
        <v>43718</v>
      </c>
      <c r="B170" s="3">
        <v>72.12</v>
      </c>
    </row>
    <row r="171" spans="1:2" x14ac:dyDescent="0.15">
      <c r="A171" s="11">
        <v>43719</v>
      </c>
      <c r="B171" s="3">
        <v>72.849999999999994</v>
      </c>
    </row>
    <row r="172" spans="1:2" x14ac:dyDescent="0.15">
      <c r="A172" s="11">
        <v>43720</v>
      </c>
      <c r="B172" s="3">
        <v>72.290000000000006</v>
      </c>
    </row>
    <row r="173" spans="1:2" x14ac:dyDescent="0.15">
      <c r="A173" s="11">
        <v>43721</v>
      </c>
      <c r="B173" s="3">
        <v>70.709999999999994</v>
      </c>
    </row>
    <row r="174" spans="1:2" x14ac:dyDescent="0.15">
      <c r="A174" s="11">
        <v>43724</v>
      </c>
      <c r="B174" s="3">
        <v>69.430000000000007</v>
      </c>
    </row>
    <row r="175" spans="1:2" x14ac:dyDescent="0.15">
      <c r="A175" s="11">
        <v>43725</v>
      </c>
      <c r="B175" s="3">
        <v>69.86</v>
      </c>
    </row>
    <row r="176" spans="1:2" x14ac:dyDescent="0.15">
      <c r="A176" s="11">
        <v>43726</v>
      </c>
      <c r="B176" s="3">
        <v>70.75</v>
      </c>
    </row>
    <row r="177" spans="1:2" x14ac:dyDescent="0.15">
      <c r="A177" s="11">
        <v>43727</v>
      </c>
      <c r="B177" s="3">
        <v>70.95</v>
      </c>
    </row>
    <row r="178" spans="1:2" x14ac:dyDescent="0.15">
      <c r="A178" s="11">
        <v>43728</v>
      </c>
      <c r="B178" s="3">
        <v>70.95</v>
      </c>
    </row>
    <row r="179" spans="1:2" x14ac:dyDescent="0.15">
      <c r="A179" s="11">
        <v>43731</v>
      </c>
      <c r="B179" s="3">
        <v>71.5</v>
      </c>
    </row>
    <row r="180" spans="1:2" x14ac:dyDescent="0.15">
      <c r="A180" s="11">
        <v>43732</v>
      </c>
      <c r="B180" s="3">
        <v>72.489999999999995</v>
      </c>
    </row>
    <row r="181" spans="1:2" x14ac:dyDescent="0.15">
      <c r="A181" s="11">
        <v>43733</v>
      </c>
      <c r="B181" s="3">
        <v>72.239999999999995</v>
      </c>
    </row>
    <row r="182" spans="1:2" x14ac:dyDescent="0.15">
      <c r="A182" s="11">
        <v>43734</v>
      </c>
      <c r="B182" s="3">
        <v>72.72</v>
      </c>
    </row>
    <row r="183" spans="1:2" x14ac:dyDescent="0.15">
      <c r="A183" s="11">
        <v>43735</v>
      </c>
      <c r="B183" s="3">
        <v>73.260000000000005</v>
      </c>
    </row>
    <row r="184" spans="1:2" x14ac:dyDescent="0.15">
      <c r="A184" s="11">
        <v>43738</v>
      </c>
      <c r="B184" s="3">
        <v>73.510000000000005</v>
      </c>
    </row>
    <row r="185" spans="1:2" x14ac:dyDescent="0.15">
      <c r="A185" s="11">
        <v>43739</v>
      </c>
      <c r="B185" s="3">
        <v>71.73</v>
      </c>
    </row>
    <row r="186" spans="1:2" x14ac:dyDescent="0.15">
      <c r="A186" s="11">
        <v>43740</v>
      </c>
      <c r="B186" s="3">
        <v>70.52</v>
      </c>
    </row>
    <row r="187" spans="1:2" x14ac:dyDescent="0.15">
      <c r="A187" s="11">
        <v>43741</v>
      </c>
      <c r="B187" s="3">
        <v>70.87</v>
      </c>
    </row>
    <row r="188" spans="1:2" x14ac:dyDescent="0.15">
      <c r="A188" s="11">
        <v>43742</v>
      </c>
      <c r="B188" s="3">
        <v>72.069999999999993</v>
      </c>
    </row>
    <row r="189" spans="1:2" x14ac:dyDescent="0.15">
      <c r="A189" s="11">
        <v>43745</v>
      </c>
      <c r="B189" s="3">
        <v>71.62</v>
      </c>
    </row>
    <row r="190" spans="1:2" x14ac:dyDescent="0.15">
      <c r="A190" s="11">
        <v>43746</v>
      </c>
      <c r="B190" s="3">
        <v>70.680000000000007</v>
      </c>
    </row>
    <row r="191" spans="1:2" x14ac:dyDescent="0.15">
      <c r="A191" s="11">
        <v>43747</v>
      </c>
      <c r="B191" s="3">
        <v>70.63</v>
      </c>
    </row>
    <row r="192" spans="1:2" x14ac:dyDescent="0.15">
      <c r="A192" s="11">
        <v>43748</v>
      </c>
      <c r="B192" s="3">
        <v>70.77</v>
      </c>
    </row>
    <row r="193" spans="1:2" x14ac:dyDescent="0.15">
      <c r="A193" s="11">
        <v>43749</v>
      </c>
      <c r="B193" s="3">
        <v>70.510000000000005</v>
      </c>
    </row>
    <row r="194" spans="1:2" x14ac:dyDescent="0.15">
      <c r="A194" s="11">
        <v>43752</v>
      </c>
      <c r="B194" s="3">
        <v>69.41</v>
      </c>
    </row>
    <row r="195" spans="1:2" x14ac:dyDescent="0.15">
      <c r="A195" s="11">
        <v>43753</v>
      </c>
      <c r="B195" s="3">
        <v>68.400000000000006</v>
      </c>
    </row>
    <row r="196" spans="1:2" x14ac:dyDescent="0.15">
      <c r="A196" s="11">
        <v>43754</v>
      </c>
      <c r="B196" s="3">
        <v>67.849999999999994</v>
      </c>
    </row>
    <row r="197" spans="1:2" x14ac:dyDescent="0.15">
      <c r="A197" s="11">
        <v>43755</v>
      </c>
      <c r="B197" s="3">
        <v>68.08</v>
      </c>
    </row>
    <row r="198" spans="1:2" x14ac:dyDescent="0.15">
      <c r="A198" s="11">
        <v>43756</v>
      </c>
      <c r="B198" s="3">
        <v>68.03</v>
      </c>
    </row>
    <row r="199" spans="1:2" x14ac:dyDescent="0.15">
      <c r="A199" s="11">
        <v>43759</v>
      </c>
      <c r="B199" s="3">
        <v>68.3</v>
      </c>
    </row>
    <row r="200" spans="1:2" x14ac:dyDescent="0.15">
      <c r="A200" s="11">
        <v>43760</v>
      </c>
      <c r="B200" s="3">
        <v>67.06</v>
      </c>
    </row>
    <row r="201" spans="1:2" x14ac:dyDescent="0.15">
      <c r="A201" s="11">
        <v>43761</v>
      </c>
      <c r="B201" s="3">
        <v>67.540000000000006</v>
      </c>
    </row>
    <row r="202" spans="1:2" x14ac:dyDescent="0.15">
      <c r="A202" s="11">
        <v>43762</v>
      </c>
      <c r="B202" s="3">
        <v>68.34</v>
      </c>
    </row>
    <row r="203" spans="1:2" x14ac:dyDescent="0.15">
      <c r="A203" s="11">
        <v>43763</v>
      </c>
      <c r="B203" s="3">
        <v>68.41</v>
      </c>
    </row>
    <row r="204" spans="1:2" x14ac:dyDescent="0.15">
      <c r="A204" s="11">
        <v>43766</v>
      </c>
      <c r="B204" s="3">
        <v>67.349999999999994</v>
      </c>
    </row>
    <row r="205" spans="1:2" x14ac:dyDescent="0.15">
      <c r="A205" s="11">
        <v>43767</v>
      </c>
      <c r="B205" s="3">
        <v>67.92</v>
      </c>
    </row>
    <row r="206" spans="1:2" x14ac:dyDescent="0.15">
      <c r="A206" s="11">
        <v>43768</v>
      </c>
      <c r="B206" s="3">
        <v>68.58</v>
      </c>
    </row>
    <row r="207" spans="1:2" x14ac:dyDescent="0.15">
      <c r="A207" s="11">
        <v>43769</v>
      </c>
      <c r="B207" s="3">
        <v>68.599999999999994</v>
      </c>
    </row>
    <row r="208" spans="1:2" x14ac:dyDescent="0.15">
      <c r="A208" s="11">
        <v>43770</v>
      </c>
      <c r="B208" s="3">
        <v>66.81</v>
      </c>
    </row>
    <row r="209" spans="1:2" x14ac:dyDescent="0.15">
      <c r="A209" s="11">
        <v>43773</v>
      </c>
      <c r="B209" s="3">
        <v>65.41</v>
      </c>
    </row>
    <row r="210" spans="1:2" x14ac:dyDescent="0.15">
      <c r="A210" s="11">
        <v>43774</v>
      </c>
      <c r="B210" s="3">
        <v>65.959999999999994</v>
      </c>
    </row>
    <row r="211" spans="1:2" x14ac:dyDescent="0.15">
      <c r="A211" s="11">
        <v>43775</v>
      </c>
      <c r="B211" s="3">
        <v>66.52</v>
      </c>
    </row>
    <row r="212" spans="1:2" x14ac:dyDescent="0.15">
      <c r="A212" s="11">
        <v>43776</v>
      </c>
      <c r="B212" s="3">
        <v>66.87</v>
      </c>
    </row>
    <row r="213" spans="1:2" x14ac:dyDescent="0.15">
      <c r="A213" s="11">
        <v>43777</v>
      </c>
      <c r="B213" s="3">
        <v>66.63</v>
      </c>
    </row>
    <row r="214" spans="1:2" x14ac:dyDescent="0.15">
      <c r="A214" s="11">
        <v>43780</v>
      </c>
      <c r="B214" s="3">
        <v>66.540000000000006</v>
      </c>
    </row>
    <row r="215" spans="1:2" x14ac:dyDescent="0.15">
      <c r="A215" s="11">
        <v>43781</v>
      </c>
      <c r="B215" s="3">
        <v>66.64</v>
      </c>
    </row>
    <row r="216" spans="1:2" x14ac:dyDescent="0.15">
      <c r="A216" s="11">
        <v>43782</v>
      </c>
      <c r="B216" s="3">
        <v>66.88</v>
      </c>
    </row>
    <row r="217" spans="1:2" x14ac:dyDescent="0.15">
      <c r="A217" s="11">
        <v>43783</v>
      </c>
      <c r="B217" s="3">
        <v>66.64</v>
      </c>
    </row>
    <row r="218" spans="1:2" x14ac:dyDescent="0.15">
      <c r="A218" s="11">
        <v>43784</v>
      </c>
      <c r="B218" s="3">
        <v>66.37</v>
      </c>
    </row>
    <row r="219" spans="1:2" x14ac:dyDescent="0.15">
      <c r="A219" s="11">
        <v>43787</v>
      </c>
      <c r="B219" s="3">
        <v>67.13</v>
      </c>
    </row>
    <row r="220" spans="1:2" x14ac:dyDescent="0.15">
      <c r="A220" s="11">
        <v>43788</v>
      </c>
      <c r="B220" s="3">
        <v>67.16</v>
      </c>
    </row>
    <row r="221" spans="1:2" x14ac:dyDescent="0.15">
      <c r="A221" s="11">
        <v>43789</v>
      </c>
      <c r="B221" s="3">
        <v>67.209999999999994</v>
      </c>
    </row>
    <row r="222" spans="1:2" x14ac:dyDescent="0.15">
      <c r="A222" s="11">
        <v>43790</v>
      </c>
      <c r="B222" s="3">
        <v>66.75</v>
      </c>
    </row>
    <row r="223" spans="1:2" x14ac:dyDescent="0.15">
      <c r="A223" s="11">
        <v>43791</v>
      </c>
      <c r="B223" s="3">
        <v>66.709999999999994</v>
      </c>
    </row>
    <row r="224" spans="1:2" x14ac:dyDescent="0.15">
      <c r="A224" s="11">
        <v>43794</v>
      </c>
      <c r="B224" s="3">
        <v>66.98</v>
      </c>
    </row>
    <row r="225" spans="1:2" x14ac:dyDescent="0.15">
      <c r="A225" s="11">
        <v>43795</v>
      </c>
      <c r="B225" s="3">
        <v>67.790000000000006</v>
      </c>
    </row>
    <row r="226" spans="1:2" x14ac:dyDescent="0.15">
      <c r="A226" s="11">
        <v>43796</v>
      </c>
      <c r="B226" s="3">
        <v>67.680000000000007</v>
      </c>
    </row>
    <row r="227" spans="1:2" x14ac:dyDescent="0.15">
      <c r="A227" s="11">
        <v>43798</v>
      </c>
      <c r="B227" s="3">
        <v>67.819999999999993</v>
      </c>
    </row>
    <row r="228" spans="1:2" x14ac:dyDescent="0.15">
      <c r="A228" s="11">
        <v>43801</v>
      </c>
      <c r="B228" s="3">
        <v>67.569999999999993</v>
      </c>
    </row>
    <row r="229" spans="1:2" x14ac:dyDescent="0.15">
      <c r="A229" s="11">
        <v>43802</v>
      </c>
      <c r="B229" s="3">
        <v>67.3</v>
      </c>
    </row>
    <row r="230" spans="1:2" x14ac:dyDescent="0.15">
      <c r="A230" s="11">
        <v>43803</v>
      </c>
      <c r="B230" s="3">
        <v>68.08</v>
      </c>
    </row>
    <row r="231" spans="1:2" x14ac:dyDescent="0.15">
      <c r="A231" s="11">
        <v>43804</v>
      </c>
      <c r="B231" s="3">
        <v>67.819999999999993</v>
      </c>
    </row>
    <row r="232" spans="1:2" x14ac:dyDescent="0.15">
      <c r="A232" s="11">
        <v>43805</v>
      </c>
      <c r="B232" s="3">
        <v>68.239999999999995</v>
      </c>
    </row>
    <row r="233" spans="1:2" x14ac:dyDescent="0.15">
      <c r="A233" s="11">
        <v>43808</v>
      </c>
      <c r="B233" s="3">
        <v>68.599999999999994</v>
      </c>
    </row>
    <row r="234" spans="1:2" x14ac:dyDescent="0.15">
      <c r="A234" s="11">
        <v>43809</v>
      </c>
      <c r="B234" s="3">
        <v>67.930000000000007</v>
      </c>
    </row>
    <row r="235" spans="1:2" x14ac:dyDescent="0.15">
      <c r="A235" s="11">
        <v>43810</v>
      </c>
      <c r="B235" s="3">
        <v>67.459999999999994</v>
      </c>
    </row>
    <row r="236" spans="1:2" x14ac:dyDescent="0.15">
      <c r="A236" s="11">
        <v>43811</v>
      </c>
      <c r="B236" s="3">
        <v>67.23</v>
      </c>
    </row>
    <row r="237" spans="1:2" x14ac:dyDescent="0.15">
      <c r="A237" s="11">
        <v>43812</v>
      </c>
      <c r="B237" s="3">
        <v>68.69</v>
      </c>
    </row>
    <row r="238" spans="1:2" x14ac:dyDescent="0.15">
      <c r="A238" s="11">
        <v>43815</v>
      </c>
      <c r="B238" s="3">
        <v>68.87</v>
      </c>
    </row>
    <row r="239" spans="1:2" x14ac:dyDescent="0.15">
      <c r="A239" s="11">
        <v>43816</v>
      </c>
      <c r="B239" s="3">
        <v>67.84</v>
      </c>
    </row>
    <row r="240" spans="1:2" x14ac:dyDescent="0.15">
      <c r="A240" s="11">
        <v>43817</v>
      </c>
      <c r="B240" s="3">
        <v>68.27</v>
      </c>
    </row>
    <row r="241" spans="1:2" x14ac:dyDescent="0.15">
      <c r="A241" s="11">
        <v>43818</v>
      </c>
      <c r="B241" s="3">
        <v>68.34</v>
      </c>
    </row>
    <row r="242" spans="1:2" x14ac:dyDescent="0.15">
      <c r="A242" s="11">
        <v>43819</v>
      </c>
      <c r="B242" s="3">
        <v>68.849999999999994</v>
      </c>
    </row>
    <row r="243" spans="1:2" x14ac:dyDescent="0.15">
      <c r="A243" s="11">
        <v>43822</v>
      </c>
      <c r="B243" s="3">
        <v>68.72</v>
      </c>
    </row>
    <row r="244" spans="1:2" x14ac:dyDescent="0.15">
      <c r="A244" s="11">
        <v>43823</v>
      </c>
      <c r="B244" s="3">
        <v>68.55</v>
      </c>
    </row>
    <row r="245" spans="1:2" x14ac:dyDescent="0.15">
      <c r="A245" s="11">
        <v>43825</v>
      </c>
      <c r="B245" s="3">
        <v>68.58</v>
      </c>
    </row>
    <row r="246" spans="1:2" x14ac:dyDescent="0.15">
      <c r="A246" s="11">
        <v>43826</v>
      </c>
      <c r="B246" s="3">
        <v>69.180000000000007</v>
      </c>
    </row>
    <row r="247" spans="1:2" x14ac:dyDescent="0.15">
      <c r="A247" s="11">
        <v>43829</v>
      </c>
      <c r="B247" s="3">
        <v>68.790000000000006</v>
      </c>
    </row>
    <row r="248" spans="1:2" x14ac:dyDescent="0.15">
      <c r="A248" s="11">
        <v>43830</v>
      </c>
      <c r="B248" s="3">
        <v>68.84</v>
      </c>
    </row>
    <row r="249" spans="1:2" x14ac:dyDescent="0.15">
      <c r="A249" s="11">
        <v>43832</v>
      </c>
      <c r="B249" s="3">
        <v>68.12</v>
      </c>
    </row>
    <row r="250" spans="1:2" x14ac:dyDescent="0.15">
      <c r="A250" s="11">
        <v>43833</v>
      </c>
      <c r="B250" s="3">
        <v>68.02</v>
      </c>
    </row>
    <row r="251" spans="1:2" x14ac:dyDescent="0.15">
      <c r="A251" s="11">
        <v>43836</v>
      </c>
      <c r="B251" s="3">
        <v>68.489999999999995</v>
      </c>
    </row>
    <row r="252" spans="1:2" x14ac:dyDescent="0.15">
      <c r="A252" s="11">
        <v>43837</v>
      </c>
      <c r="B252" s="3">
        <v>67.55</v>
      </c>
    </row>
    <row r="253" spans="1:2" x14ac:dyDescent="0.15">
      <c r="A253" s="11">
        <v>43838</v>
      </c>
      <c r="B253" s="3">
        <v>69.27</v>
      </c>
    </row>
    <row r="254" spans="1:2" x14ac:dyDescent="0.15">
      <c r="A254" s="11">
        <v>43839</v>
      </c>
      <c r="B254" s="3">
        <v>69.86</v>
      </c>
    </row>
    <row r="255" spans="1:2" x14ac:dyDescent="0.15">
      <c r="A255" s="11">
        <v>43840</v>
      </c>
      <c r="B255" s="3">
        <v>70.150000000000006</v>
      </c>
    </row>
    <row r="256" spans="1:2" x14ac:dyDescent="0.15">
      <c r="A256" s="11">
        <v>43843</v>
      </c>
      <c r="B256" s="3">
        <v>70.14</v>
      </c>
    </row>
    <row r="257" spans="1:2" x14ac:dyDescent="0.15">
      <c r="A257" s="11">
        <v>43844</v>
      </c>
      <c r="B257" s="3">
        <v>70.290000000000006</v>
      </c>
    </row>
    <row r="258" spans="1:2" x14ac:dyDescent="0.15">
      <c r="A258" s="11">
        <v>43845</v>
      </c>
      <c r="B258" s="3">
        <v>70.8</v>
      </c>
    </row>
    <row r="259" spans="1:2" x14ac:dyDescent="0.15">
      <c r="A259" s="11">
        <v>43846</v>
      </c>
      <c r="B259" s="3">
        <v>70.75</v>
      </c>
    </row>
    <row r="260" spans="1:2" x14ac:dyDescent="0.15">
      <c r="A260" s="11">
        <v>43847</v>
      </c>
      <c r="B260" s="3">
        <v>71.180000000000007</v>
      </c>
    </row>
    <row r="261" spans="1:2" x14ac:dyDescent="0.15">
      <c r="A261" s="11">
        <v>43851</v>
      </c>
      <c r="B261" s="3">
        <v>71.290000000000006</v>
      </c>
    </row>
    <row r="262" spans="1:2" x14ac:dyDescent="0.15">
      <c r="A262" s="11">
        <v>43852</v>
      </c>
      <c r="B262" s="3">
        <v>70.53</v>
      </c>
    </row>
    <row r="263" spans="1:2" x14ac:dyDescent="0.15">
      <c r="A263" s="11">
        <v>43853</v>
      </c>
      <c r="B263" s="3">
        <v>70.61</v>
      </c>
    </row>
    <row r="264" spans="1:2" x14ac:dyDescent="0.15">
      <c r="A264" s="11">
        <v>43854</v>
      </c>
      <c r="B264" s="3">
        <v>70.3</v>
      </c>
    </row>
    <row r="265" spans="1:2" x14ac:dyDescent="0.15">
      <c r="A265" s="11">
        <v>43857</v>
      </c>
      <c r="B265" s="3">
        <v>70.099999999999994</v>
      </c>
    </row>
    <row r="266" spans="1:2" x14ac:dyDescent="0.15">
      <c r="A266" s="11">
        <v>43858</v>
      </c>
      <c r="B266" s="3">
        <v>69.709999999999994</v>
      </c>
    </row>
    <row r="267" spans="1:2" x14ac:dyDescent="0.15">
      <c r="A267" s="11">
        <v>43859</v>
      </c>
      <c r="B267" s="3">
        <v>68.83</v>
      </c>
    </row>
    <row r="268" spans="1:2" x14ac:dyDescent="0.15">
      <c r="A268" s="11">
        <v>43860</v>
      </c>
      <c r="B268" s="3">
        <v>69.47</v>
      </c>
    </row>
    <row r="269" spans="1:2" x14ac:dyDescent="0.15">
      <c r="A269" s="11">
        <v>43861</v>
      </c>
      <c r="B269" s="3">
        <v>73.78</v>
      </c>
    </row>
    <row r="270" spans="1:2" x14ac:dyDescent="0.15">
      <c r="A270" s="11">
        <v>43864</v>
      </c>
      <c r="B270" s="3">
        <v>74.930000000000007</v>
      </c>
    </row>
    <row r="271" spans="1:2" x14ac:dyDescent="0.15">
      <c r="A271" s="11">
        <v>43865</v>
      </c>
      <c r="B271" s="3">
        <v>75.400000000000006</v>
      </c>
    </row>
    <row r="272" spans="1:2" x14ac:dyDescent="0.15">
      <c r="A272" s="11">
        <v>43866</v>
      </c>
      <c r="B272" s="3">
        <v>75.73</v>
      </c>
    </row>
    <row r="273" spans="1:2" x14ac:dyDescent="0.15">
      <c r="A273" s="11">
        <v>43867</v>
      </c>
      <c r="B273" s="3">
        <v>76.31</v>
      </c>
    </row>
    <row r="274" spans="1:2" x14ac:dyDescent="0.15">
      <c r="A274" s="11">
        <v>43868</v>
      </c>
      <c r="B274" s="3">
        <v>76.03</v>
      </c>
    </row>
    <row r="275" spans="1:2" x14ac:dyDescent="0.15">
      <c r="A275" s="11">
        <v>43871</v>
      </c>
      <c r="B275" s="3">
        <v>77.349999999999994</v>
      </c>
    </row>
    <row r="276" spans="1:2" x14ac:dyDescent="0.15">
      <c r="A276" s="11">
        <v>43872</v>
      </c>
      <c r="B276" s="3">
        <v>76.11</v>
      </c>
    </row>
    <row r="277" spans="1:2" x14ac:dyDescent="0.15">
      <c r="A277" s="11">
        <v>43873</v>
      </c>
      <c r="B277" s="3">
        <v>75.95</v>
      </c>
    </row>
    <row r="278" spans="1:2" x14ac:dyDescent="0.15">
      <c r="A278" s="11">
        <v>43874</v>
      </c>
      <c r="B278" s="3">
        <v>76.37</v>
      </c>
    </row>
    <row r="279" spans="1:2" x14ac:dyDescent="0.15">
      <c r="A279" s="11">
        <v>43875</v>
      </c>
      <c r="B279" s="3">
        <v>76.69</v>
      </c>
    </row>
    <row r="280" spans="1:2" x14ac:dyDescent="0.15">
      <c r="A280" s="11">
        <v>43879</v>
      </c>
      <c r="B280" s="3">
        <v>76.069999999999993</v>
      </c>
    </row>
    <row r="281" spans="1:2" x14ac:dyDescent="0.15">
      <c r="A281" s="11">
        <v>43880</v>
      </c>
      <c r="B281" s="3">
        <v>75.540000000000006</v>
      </c>
    </row>
    <row r="282" spans="1:2" x14ac:dyDescent="0.15">
      <c r="A282" s="11">
        <v>43881</v>
      </c>
      <c r="B282" s="3">
        <v>75.16</v>
      </c>
    </row>
    <row r="283" spans="1:2" x14ac:dyDescent="0.15">
      <c r="A283" s="11">
        <v>43882</v>
      </c>
      <c r="B283" s="3">
        <v>76.27</v>
      </c>
    </row>
    <row r="284" spans="1:2" x14ac:dyDescent="0.15">
      <c r="A284" s="11">
        <v>43885</v>
      </c>
      <c r="B284" s="3">
        <v>74.42</v>
      </c>
    </row>
    <row r="285" spans="1:2" x14ac:dyDescent="0.15">
      <c r="A285" s="11">
        <v>43886</v>
      </c>
      <c r="B285" s="3">
        <v>73.8</v>
      </c>
    </row>
    <row r="286" spans="1:2" x14ac:dyDescent="0.15">
      <c r="A286" s="11">
        <v>43887</v>
      </c>
      <c r="B286" s="3">
        <v>72.92</v>
      </c>
    </row>
    <row r="287" spans="1:2" x14ac:dyDescent="0.15">
      <c r="A287" s="11">
        <v>43888</v>
      </c>
      <c r="B287" s="3">
        <v>70.150000000000006</v>
      </c>
    </row>
    <row r="288" spans="1:2" x14ac:dyDescent="0.15">
      <c r="A288" s="11">
        <v>43889</v>
      </c>
      <c r="B288" s="3">
        <v>67.569999999999993</v>
      </c>
    </row>
    <row r="289" spans="1:2" x14ac:dyDescent="0.15">
      <c r="A289" s="11">
        <v>43892</v>
      </c>
      <c r="B289" s="3">
        <v>72.44</v>
      </c>
    </row>
    <row r="290" spans="1:2" x14ac:dyDescent="0.15">
      <c r="A290" s="11">
        <v>43893</v>
      </c>
      <c r="B290" s="3">
        <v>71.78</v>
      </c>
    </row>
    <row r="291" spans="1:2" x14ac:dyDescent="0.15">
      <c r="A291" s="11">
        <v>43894</v>
      </c>
      <c r="B291" s="3">
        <v>75.37</v>
      </c>
    </row>
    <row r="292" spans="1:2" x14ac:dyDescent="0.15">
      <c r="A292" s="11">
        <v>43895</v>
      </c>
      <c r="B292" s="3">
        <v>72.34</v>
      </c>
    </row>
    <row r="293" spans="1:2" x14ac:dyDescent="0.15">
      <c r="A293" s="11">
        <v>43896</v>
      </c>
      <c r="B293" s="3">
        <v>72.510000000000005</v>
      </c>
    </row>
    <row r="294" spans="1:2" x14ac:dyDescent="0.15">
      <c r="A294" s="11">
        <v>43899</v>
      </c>
      <c r="B294" s="3">
        <v>69.989999999999995</v>
      </c>
    </row>
    <row r="295" spans="1:2" x14ac:dyDescent="0.15">
      <c r="A295" s="11">
        <v>43900</v>
      </c>
      <c r="B295" s="3">
        <v>71.81</v>
      </c>
    </row>
    <row r="296" spans="1:2" x14ac:dyDescent="0.15">
      <c r="A296" s="11">
        <v>43901</v>
      </c>
      <c r="B296" s="3">
        <v>68.900000000000006</v>
      </c>
    </row>
    <row r="297" spans="1:2" x14ac:dyDescent="0.15">
      <c r="A297" s="11">
        <v>43902</v>
      </c>
      <c r="B297" s="3">
        <v>63.89</v>
      </c>
    </row>
    <row r="298" spans="1:2" x14ac:dyDescent="0.15">
      <c r="A298" s="11">
        <v>43903</v>
      </c>
      <c r="B298" s="3">
        <v>69.099999999999994</v>
      </c>
    </row>
    <row r="299" spans="1:2" x14ac:dyDescent="0.15">
      <c r="A299" s="11">
        <v>43906</v>
      </c>
      <c r="B299" s="3">
        <v>62.34</v>
      </c>
    </row>
    <row r="300" spans="1:2" x14ac:dyDescent="0.15">
      <c r="A300" s="11">
        <v>43907</v>
      </c>
      <c r="B300" s="3">
        <v>70.2</v>
      </c>
    </row>
    <row r="301" spans="1:2" x14ac:dyDescent="0.15">
      <c r="A301" s="11">
        <v>43908</v>
      </c>
      <c r="B301" s="3">
        <v>67.69</v>
      </c>
    </row>
    <row r="302" spans="1:2" x14ac:dyDescent="0.15">
      <c r="A302" s="11">
        <v>43909</v>
      </c>
      <c r="B302" s="3">
        <v>66.650000000000006</v>
      </c>
    </row>
    <row r="303" spans="1:2" x14ac:dyDescent="0.15">
      <c r="A303" s="11">
        <v>43910</v>
      </c>
      <c r="B303" s="3">
        <v>62.08</v>
      </c>
    </row>
    <row r="304" spans="1:2" x14ac:dyDescent="0.15">
      <c r="A304" s="11">
        <v>43913</v>
      </c>
      <c r="B304" s="3">
        <v>60.47</v>
      </c>
    </row>
    <row r="305" spans="1:2" x14ac:dyDescent="0.15">
      <c r="A305" s="11">
        <v>43914</v>
      </c>
      <c r="B305" s="3">
        <v>61.18</v>
      </c>
    </row>
    <row r="306" spans="1:2" x14ac:dyDescent="0.15">
      <c r="A306" s="11">
        <v>43915</v>
      </c>
      <c r="B306" s="3">
        <v>59.89</v>
      </c>
    </row>
    <row r="307" spans="1:2" x14ac:dyDescent="0.15">
      <c r="A307" s="11">
        <v>43916</v>
      </c>
      <c r="B307" s="3">
        <v>63.82</v>
      </c>
    </row>
    <row r="308" spans="1:2" x14ac:dyDescent="0.15">
      <c r="A308" s="11">
        <v>43917</v>
      </c>
      <c r="B308" s="3">
        <v>65.260000000000005</v>
      </c>
    </row>
    <row r="309" spans="1:2" x14ac:dyDescent="0.15">
      <c r="A309" s="11">
        <v>43920</v>
      </c>
      <c r="B309" s="3">
        <v>66.58</v>
      </c>
    </row>
    <row r="310" spans="1:2" x14ac:dyDescent="0.15">
      <c r="A310" s="11">
        <v>43921</v>
      </c>
      <c r="B310" s="3">
        <v>66.36</v>
      </c>
    </row>
    <row r="311" spans="1:2" x14ac:dyDescent="0.15">
      <c r="A311" s="11">
        <v>43922</v>
      </c>
      <c r="B311" s="3">
        <v>65.55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A565C-BF17-F949-9560-36429B2A43EF}">
  <dimension ref="A34:C311"/>
  <sheetViews>
    <sheetView topLeftCell="A281" workbookViewId="0">
      <selection activeCell="C290" sqref="C290"/>
    </sheetView>
  </sheetViews>
  <sheetFormatPr baseColWidth="10" defaultRowHeight="13" x14ac:dyDescent="0.15"/>
  <cols>
    <col min="1" max="1" width="11.33203125" bestFit="1" customWidth="1"/>
    <col min="2" max="2" width="48.33203125" bestFit="1" customWidth="1"/>
  </cols>
  <sheetData>
    <row r="34" spans="1:2" x14ac:dyDescent="0.15">
      <c r="A34" t="s">
        <v>4</v>
      </c>
      <c r="B34" s="3">
        <f>AVERAGE(B37:B288)</f>
        <v>115.87055555555557</v>
      </c>
    </row>
    <row r="35" spans="1:2" x14ac:dyDescent="0.15">
      <c r="A35" t="s">
        <v>5</v>
      </c>
      <c r="B35">
        <f>STDEV(B37:B288)</f>
        <v>8.4562405165766261</v>
      </c>
    </row>
    <row r="36" spans="1:2" x14ac:dyDescent="0.15">
      <c r="A36" t="s">
        <v>0</v>
      </c>
      <c r="B36" t="s">
        <v>15</v>
      </c>
    </row>
    <row r="37" spans="1:2" x14ac:dyDescent="0.15">
      <c r="A37" s="11">
        <v>43525</v>
      </c>
      <c r="B37" s="3">
        <v>98.44</v>
      </c>
    </row>
    <row r="38" spans="1:2" x14ac:dyDescent="0.15">
      <c r="A38" s="11">
        <v>43528</v>
      </c>
      <c r="B38" s="3">
        <v>98.87</v>
      </c>
    </row>
    <row r="39" spans="1:2" x14ac:dyDescent="0.15">
      <c r="A39" s="11">
        <v>43529</v>
      </c>
      <c r="B39" s="3">
        <v>99.09</v>
      </c>
    </row>
    <row r="40" spans="1:2" x14ac:dyDescent="0.15">
      <c r="A40" s="11">
        <v>43530</v>
      </c>
      <c r="B40" s="3">
        <v>98.93</v>
      </c>
    </row>
    <row r="41" spans="1:2" x14ac:dyDescent="0.15">
      <c r="A41" s="11">
        <v>43531</v>
      </c>
      <c r="B41" s="3">
        <v>98.55</v>
      </c>
    </row>
    <row r="42" spans="1:2" x14ac:dyDescent="0.15">
      <c r="A42" s="11">
        <v>43532</v>
      </c>
      <c r="B42" s="3">
        <v>98.41</v>
      </c>
    </row>
    <row r="43" spans="1:2" x14ac:dyDescent="0.15">
      <c r="A43" s="11">
        <v>43535</v>
      </c>
      <c r="B43" s="3">
        <v>99.58</v>
      </c>
    </row>
    <row r="44" spans="1:2" x14ac:dyDescent="0.15">
      <c r="A44" s="11">
        <v>43536</v>
      </c>
      <c r="B44" s="3">
        <v>100.05</v>
      </c>
    </row>
    <row r="45" spans="1:2" x14ac:dyDescent="0.15">
      <c r="A45" s="11">
        <v>43537</v>
      </c>
      <c r="B45" s="3">
        <v>101.18</v>
      </c>
    </row>
    <row r="46" spans="1:2" x14ac:dyDescent="0.15">
      <c r="A46" s="11">
        <v>43538</v>
      </c>
      <c r="B46" s="3">
        <v>101.32</v>
      </c>
    </row>
    <row r="47" spans="1:2" x14ac:dyDescent="0.15">
      <c r="A47" s="11">
        <v>43539</v>
      </c>
      <c r="B47" s="3">
        <v>102.44</v>
      </c>
    </row>
    <row r="48" spans="1:2" x14ac:dyDescent="0.15">
      <c r="A48" s="11">
        <v>43542</v>
      </c>
      <c r="B48" s="3">
        <v>101.51</v>
      </c>
    </row>
    <row r="49" spans="1:2" x14ac:dyDescent="0.15">
      <c r="A49" s="11">
        <v>43543</v>
      </c>
      <c r="B49" s="3">
        <v>101.9</v>
      </c>
    </row>
    <row r="50" spans="1:2" x14ac:dyDescent="0.15">
      <c r="A50" s="11">
        <v>43544</v>
      </c>
      <c r="B50" s="3">
        <v>101.72</v>
      </c>
    </row>
    <row r="51" spans="1:2" x14ac:dyDescent="0.15">
      <c r="A51" s="11">
        <v>43545</v>
      </c>
      <c r="B51" s="3">
        <v>102.49</v>
      </c>
    </row>
    <row r="52" spans="1:2" x14ac:dyDescent="0.15">
      <c r="A52" s="11">
        <v>43546</v>
      </c>
      <c r="B52" s="3">
        <v>101.66</v>
      </c>
    </row>
    <row r="53" spans="1:2" x14ac:dyDescent="0.15">
      <c r="A53" s="11">
        <v>43549</v>
      </c>
      <c r="B53" s="3">
        <v>101.96</v>
      </c>
    </row>
    <row r="54" spans="1:2" x14ac:dyDescent="0.15">
      <c r="A54" s="11">
        <v>43550</v>
      </c>
      <c r="B54" s="3">
        <v>103.02</v>
      </c>
    </row>
    <row r="55" spans="1:2" x14ac:dyDescent="0.15">
      <c r="A55" s="11">
        <v>43551</v>
      </c>
      <c r="B55" s="3">
        <v>102.9</v>
      </c>
    </row>
    <row r="56" spans="1:2" x14ac:dyDescent="0.15">
      <c r="A56" s="11">
        <v>43552</v>
      </c>
      <c r="B56" s="3">
        <v>103.55</v>
      </c>
    </row>
    <row r="57" spans="1:2" x14ac:dyDescent="0.15">
      <c r="A57" s="11">
        <v>43553</v>
      </c>
      <c r="B57" s="3">
        <v>104.05</v>
      </c>
    </row>
    <row r="58" spans="1:2" x14ac:dyDescent="0.15">
      <c r="A58" s="11">
        <v>43556</v>
      </c>
      <c r="B58" s="3">
        <v>103.64</v>
      </c>
    </row>
    <row r="59" spans="1:2" x14ac:dyDescent="0.15">
      <c r="A59" s="11">
        <v>43557</v>
      </c>
      <c r="B59" s="3">
        <v>103.75</v>
      </c>
    </row>
    <row r="60" spans="1:2" x14ac:dyDescent="0.15">
      <c r="A60" s="11">
        <v>43558</v>
      </c>
      <c r="B60" s="3">
        <v>103.69</v>
      </c>
    </row>
    <row r="61" spans="1:2" x14ac:dyDescent="0.15">
      <c r="A61" s="11">
        <v>43559</v>
      </c>
      <c r="B61" s="3">
        <v>103.43</v>
      </c>
    </row>
    <row r="62" spans="1:2" x14ac:dyDescent="0.15">
      <c r="A62" s="11">
        <v>43560</v>
      </c>
      <c r="B62" s="3">
        <v>103.65</v>
      </c>
    </row>
    <row r="63" spans="1:2" x14ac:dyDescent="0.15">
      <c r="A63" s="11">
        <v>43563</v>
      </c>
      <c r="B63" s="3">
        <v>104.97</v>
      </c>
    </row>
    <row r="64" spans="1:2" x14ac:dyDescent="0.15">
      <c r="A64" s="11">
        <v>43564</v>
      </c>
      <c r="B64" s="3">
        <v>104.66</v>
      </c>
    </row>
    <row r="65" spans="1:2" x14ac:dyDescent="0.15">
      <c r="A65" s="11">
        <v>43565</v>
      </c>
      <c r="B65" s="3">
        <v>104.65</v>
      </c>
    </row>
    <row r="66" spans="1:2" x14ac:dyDescent="0.15">
      <c r="A66" s="11">
        <v>43566</v>
      </c>
      <c r="B66" s="3">
        <v>104.75</v>
      </c>
    </row>
    <row r="67" spans="1:2" x14ac:dyDescent="0.15">
      <c r="A67" s="11">
        <v>43567</v>
      </c>
      <c r="B67" s="3">
        <v>105.06</v>
      </c>
    </row>
    <row r="68" spans="1:2" x14ac:dyDescent="0.15">
      <c r="A68" s="11">
        <v>43570</v>
      </c>
      <c r="B68" s="3">
        <v>105.73</v>
      </c>
    </row>
    <row r="69" spans="1:2" x14ac:dyDescent="0.15">
      <c r="A69" s="11">
        <v>43571</v>
      </c>
      <c r="B69" s="3">
        <v>106.42</v>
      </c>
    </row>
    <row r="70" spans="1:2" x14ac:dyDescent="0.15">
      <c r="A70" s="11">
        <v>43572</v>
      </c>
      <c r="B70" s="3">
        <v>105.85</v>
      </c>
    </row>
    <row r="71" spans="1:2" x14ac:dyDescent="0.15">
      <c r="A71" s="11">
        <v>43573</v>
      </c>
      <c r="B71" s="3">
        <v>106.05</v>
      </c>
    </row>
    <row r="72" spans="1:2" x14ac:dyDescent="0.15">
      <c r="A72" s="11">
        <v>43577</v>
      </c>
      <c r="B72" s="3">
        <v>106.01</v>
      </c>
    </row>
    <row r="73" spans="1:2" x14ac:dyDescent="0.15">
      <c r="A73" s="11">
        <v>43578</v>
      </c>
      <c r="B73" s="3">
        <v>103.16</v>
      </c>
    </row>
    <row r="74" spans="1:2" x14ac:dyDescent="0.15">
      <c r="A74" s="11">
        <v>43579</v>
      </c>
      <c r="B74" s="3">
        <v>103.69</v>
      </c>
    </row>
    <row r="75" spans="1:2" x14ac:dyDescent="0.15">
      <c r="A75" s="11">
        <v>43580</v>
      </c>
      <c r="B75" s="3">
        <v>103.28</v>
      </c>
    </row>
    <row r="76" spans="1:2" x14ac:dyDescent="0.15">
      <c r="A76" s="11">
        <v>43581</v>
      </c>
      <c r="B76" s="3">
        <v>105.86</v>
      </c>
    </row>
    <row r="77" spans="1:2" x14ac:dyDescent="0.15">
      <c r="A77" s="11">
        <v>43584</v>
      </c>
      <c r="B77" s="3">
        <v>104.78</v>
      </c>
    </row>
    <row r="78" spans="1:2" x14ac:dyDescent="0.15">
      <c r="A78" s="11">
        <v>43585</v>
      </c>
      <c r="B78" s="3">
        <v>106.48</v>
      </c>
    </row>
    <row r="79" spans="1:2" x14ac:dyDescent="0.15">
      <c r="A79" s="11">
        <v>43586</v>
      </c>
      <c r="B79" s="3">
        <v>104.93</v>
      </c>
    </row>
    <row r="80" spans="1:2" x14ac:dyDescent="0.15">
      <c r="A80" s="11">
        <v>43587</v>
      </c>
      <c r="B80" s="3">
        <v>105.56</v>
      </c>
    </row>
    <row r="81" spans="1:2" x14ac:dyDescent="0.15">
      <c r="A81" s="11">
        <v>43588</v>
      </c>
      <c r="B81" s="3">
        <v>106.08</v>
      </c>
    </row>
    <row r="82" spans="1:2" x14ac:dyDescent="0.15">
      <c r="A82" s="11">
        <v>43591</v>
      </c>
      <c r="B82" s="3">
        <v>105.68</v>
      </c>
    </row>
    <row r="83" spans="1:2" x14ac:dyDescent="0.15">
      <c r="A83" s="11">
        <v>43592</v>
      </c>
      <c r="B83" s="3">
        <v>104.7</v>
      </c>
    </row>
    <row r="84" spans="1:2" x14ac:dyDescent="0.15">
      <c r="A84" s="11">
        <v>43593</v>
      </c>
      <c r="B84" s="3">
        <v>105.07</v>
      </c>
    </row>
    <row r="85" spans="1:2" x14ac:dyDescent="0.15">
      <c r="A85" s="11">
        <v>43594</v>
      </c>
      <c r="B85" s="3">
        <v>104.24</v>
      </c>
    </row>
    <row r="86" spans="1:2" x14ac:dyDescent="0.15">
      <c r="A86" s="11">
        <v>43595</v>
      </c>
      <c r="B86" s="3">
        <v>106.01</v>
      </c>
    </row>
    <row r="87" spans="1:2" x14ac:dyDescent="0.15">
      <c r="A87" s="11">
        <v>43598</v>
      </c>
      <c r="B87" s="3">
        <v>106.11</v>
      </c>
    </row>
    <row r="88" spans="1:2" x14ac:dyDescent="0.15">
      <c r="A88" s="11">
        <v>43599</v>
      </c>
      <c r="B88" s="3">
        <v>105.6</v>
      </c>
    </row>
    <row r="89" spans="1:2" x14ac:dyDescent="0.15">
      <c r="A89" s="11">
        <v>43600</v>
      </c>
      <c r="B89" s="3">
        <v>106.7</v>
      </c>
    </row>
    <row r="90" spans="1:2" x14ac:dyDescent="0.15">
      <c r="A90" s="11">
        <v>43601</v>
      </c>
      <c r="B90" s="3">
        <v>108.11</v>
      </c>
    </row>
    <row r="91" spans="1:2" x14ac:dyDescent="0.15">
      <c r="A91" s="11">
        <v>43602</v>
      </c>
      <c r="B91" s="3">
        <v>107.45</v>
      </c>
    </row>
    <row r="92" spans="1:2" x14ac:dyDescent="0.15">
      <c r="A92" s="11">
        <v>43605</v>
      </c>
      <c r="B92" s="3">
        <v>107.33</v>
      </c>
    </row>
    <row r="93" spans="1:2" x14ac:dyDescent="0.15">
      <c r="A93" s="11">
        <v>43606</v>
      </c>
      <c r="B93" s="3">
        <v>106.37</v>
      </c>
    </row>
    <row r="94" spans="1:2" x14ac:dyDescent="0.15">
      <c r="A94" s="11">
        <v>43607</v>
      </c>
      <c r="B94" s="3">
        <v>106.72</v>
      </c>
    </row>
    <row r="95" spans="1:2" x14ac:dyDescent="0.15">
      <c r="A95" s="11">
        <v>43608</v>
      </c>
      <c r="B95" s="3">
        <v>106.76</v>
      </c>
    </row>
    <row r="96" spans="1:2" x14ac:dyDescent="0.15">
      <c r="A96" s="11">
        <v>43609</v>
      </c>
      <c r="B96" s="3">
        <v>106.69</v>
      </c>
    </row>
    <row r="97" spans="1:2" x14ac:dyDescent="0.15">
      <c r="A97" s="11">
        <v>43613</v>
      </c>
      <c r="B97" s="3">
        <v>104.46</v>
      </c>
    </row>
    <row r="98" spans="1:2" x14ac:dyDescent="0.15">
      <c r="A98" s="11">
        <v>43614</v>
      </c>
      <c r="B98" s="3">
        <v>104.19</v>
      </c>
    </row>
    <row r="99" spans="1:2" x14ac:dyDescent="0.15">
      <c r="A99" s="11">
        <v>43615</v>
      </c>
      <c r="B99" s="3">
        <v>105.33</v>
      </c>
    </row>
    <row r="100" spans="1:2" x14ac:dyDescent="0.15">
      <c r="A100" s="11">
        <v>43616</v>
      </c>
      <c r="B100" s="3">
        <v>102.91</v>
      </c>
    </row>
    <row r="101" spans="1:2" x14ac:dyDescent="0.15">
      <c r="A101" s="11">
        <v>43619</v>
      </c>
      <c r="B101" s="3">
        <v>103.8</v>
      </c>
    </row>
    <row r="102" spans="1:2" x14ac:dyDescent="0.15">
      <c r="A102" s="11">
        <v>43620</v>
      </c>
      <c r="B102" s="3">
        <v>104.68</v>
      </c>
    </row>
    <row r="103" spans="1:2" x14ac:dyDescent="0.15">
      <c r="A103" s="11">
        <v>43621</v>
      </c>
      <c r="B103" s="3">
        <v>106.73</v>
      </c>
    </row>
    <row r="104" spans="1:2" x14ac:dyDescent="0.15">
      <c r="A104" s="11">
        <v>43622</v>
      </c>
      <c r="B104" s="3">
        <v>107.38</v>
      </c>
    </row>
    <row r="105" spans="1:2" x14ac:dyDescent="0.15">
      <c r="A105" s="11">
        <v>43623</v>
      </c>
      <c r="B105" s="3">
        <v>108.77</v>
      </c>
    </row>
    <row r="106" spans="1:2" x14ac:dyDescent="0.15">
      <c r="A106" s="11">
        <v>43626</v>
      </c>
      <c r="B106" s="3">
        <v>108.72</v>
      </c>
    </row>
    <row r="107" spans="1:2" x14ac:dyDescent="0.15">
      <c r="A107" s="11">
        <v>43627</v>
      </c>
      <c r="B107" s="3">
        <v>109.38</v>
      </c>
    </row>
    <row r="108" spans="1:2" x14ac:dyDescent="0.15">
      <c r="A108" s="11">
        <v>43628</v>
      </c>
      <c r="B108" s="3">
        <v>109.68</v>
      </c>
    </row>
    <row r="109" spans="1:2" x14ac:dyDescent="0.15">
      <c r="A109" s="11">
        <v>43629</v>
      </c>
      <c r="B109" s="3">
        <v>110.91</v>
      </c>
    </row>
    <row r="110" spans="1:2" x14ac:dyDescent="0.15">
      <c r="A110" s="11">
        <v>43630</v>
      </c>
      <c r="B110" s="3">
        <v>111.2</v>
      </c>
    </row>
    <row r="111" spans="1:2" x14ac:dyDescent="0.15">
      <c r="A111" s="11">
        <v>43633</v>
      </c>
      <c r="B111" s="3">
        <v>110.99</v>
      </c>
    </row>
    <row r="112" spans="1:2" x14ac:dyDescent="0.15">
      <c r="A112" s="11">
        <v>43634</v>
      </c>
      <c r="B112" s="3">
        <v>109.6</v>
      </c>
    </row>
    <row r="113" spans="1:2" x14ac:dyDescent="0.15">
      <c r="A113" s="11">
        <v>43635</v>
      </c>
      <c r="B113" s="3">
        <v>110.42</v>
      </c>
    </row>
    <row r="114" spans="1:2" x14ac:dyDescent="0.15">
      <c r="A114" s="11">
        <v>43636</v>
      </c>
      <c r="B114" s="3">
        <v>111.74</v>
      </c>
    </row>
    <row r="115" spans="1:2" x14ac:dyDescent="0.15">
      <c r="A115" s="11">
        <v>43637</v>
      </c>
      <c r="B115" s="3">
        <v>111.2</v>
      </c>
    </row>
    <row r="116" spans="1:2" x14ac:dyDescent="0.15">
      <c r="A116" s="11">
        <v>43640</v>
      </c>
      <c r="B116" s="3">
        <v>112.33</v>
      </c>
    </row>
    <row r="117" spans="1:2" x14ac:dyDescent="0.15">
      <c r="A117" s="11">
        <v>43641</v>
      </c>
      <c r="B117" s="3">
        <v>111.72</v>
      </c>
    </row>
    <row r="118" spans="1:2" x14ac:dyDescent="0.15">
      <c r="A118" s="11">
        <v>43642</v>
      </c>
      <c r="B118" s="3">
        <v>109.73</v>
      </c>
    </row>
    <row r="119" spans="1:2" x14ac:dyDescent="0.15">
      <c r="A119" s="11">
        <v>43643</v>
      </c>
      <c r="B119" s="3">
        <v>109.78</v>
      </c>
    </row>
    <row r="120" spans="1:2" x14ac:dyDescent="0.15">
      <c r="A120" s="11">
        <v>43644</v>
      </c>
      <c r="B120" s="3">
        <v>109.65</v>
      </c>
    </row>
    <row r="121" spans="1:2" x14ac:dyDescent="0.15">
      <c r="A121" s="11">
        <v>43647</v>
      </c>
      <c r="B121" s="3">
        <v>110.49</v>
      </c>
    </row>
    <row r="122" spans="1:2" x14ac:dyDescent="0.15">
      <c r="A122" s="11">
        <v>43648</v>
      </c>
      <c r="B122" s="3">
        <v>111.48</v>
      </c>
    </row>
    <row r="123" spans="1:2" x14ac:dyDescent="0.15">
      <c r="A123" s="11">
        <v>43649</v>
      </c>
      <c r="B123" s="3">
        <v>114.08</v>
      </c>
    </row>
    <row r="124" spans="1:2" x14ac:dyDescent="0.15">
      <c r="A124" s="11">
        <v>43651</v>
      </c>
      <c r="B124" s="3">
        <v>113.15</v>
      </c>
    </row>
    <row r="125" spans="1:2" x14ac:dyDescent="0.15">
      <c r="A125" s="11">
        <v>43654</v>
      </c>
      <c r="B125" s="3">
        <v>114.05</v>
      </c>
    </row>
    <row r="126" spans="1:2" x14ac:dyDescent="0.15">
      <c r="A126" s="11">
        <v>43655</v>
      </c>
      <c r="B126" s="3">
        <v>112.91</v>
      </c>
    </row>
    <row r="127" spans="1:2" x14ac:dyDescent="0.15">
      <c r="A127" s="11">
        <v>43656</v>
      </c>
      <c r="B127" s="3">
        <v>113.75</v>
      </c>
    </row>
    <row r="128" spans="1:2" x14ac:dyDescent="0.15">
      <c r="A128" s="11">
        <v>43657</v>
      </c>
      <c r="B128" s="3">
        <v>114.38</v>
      </c>
    </row>
    <row r="129" spans="1:2" x14ac:dyDescent="0.15">
      <c r="A129" s="11">
        <v>43658</v>
      </c>
      <c r="B129" s="3">
        <v>114.99</v>
      </c>
    </row>
    <row r="130" spans="1:2" x14ac:dyDescent="0.15">
      <c r="A130" s="11">
        <v>43661</v>
      </c>
      <c r="B130" s="3">
        <v>115.48</v>
      </c>
    </row>
    <row r="131" spans="1:2" x14ac:dyDescent="0.15">
      <c r="A131" s="11">
        <v>43662</v>
      </c>
      <c r="B131" s="3">
        <v>115.89</v>
      </c>
    </row>
    <row r="132" spans="1:2" x14ac:dyDescent="0.15">
      <c r="A132" s="11">
        <v>43663</v>
      </c>
      <c r="B132" s="3">
        <v>115.94</v>
      </c>
    </row>
    <row r="133" spans="1:2" x14ac:dyDescent="0.15">
      <c r="A133" s="11">
        <v>43664</v>
      </c>
      <c r="B133" s="3">
        <v>115.44</v>
      </c>
    </row>
    <row r="134" spans="1:2" x14ac:dyDescent="0.15">
      <c r="A134" s="11">
        <v>43665</v>
      </c>
      <c r="B134" s="3">
        <v>115.01</v>
      </c>
    </row>
    <row r="135" spans="1:2" x14ac:dyDescent="0.15">
      <c r="A135" s="11">
        <v>43668</v>
      </c>
      <c r="B135" s="3">
        <v>115.3</v>
      </c>
    </row>
    <row r="136" spans="1:2" x14ac:dyDescent="0.15">
      <c r="A136" s="11">
        <v>43669</v>
      </c>
      <c r="B136" s="3">
        <v>113.85</v>
      </c>
    </row>
    <row r="137" spans="1:2" x14ac:dyDescent="0.15">
      <c r="A137" s="11">
        <v>43670</v>
      </c>
      <c r="B137" s="3">
        <v>112.6</v>
      </c>
    </row>
    <row r="138" spans="1:2" x14ac:dyDescent="0.15">
      <c r="A138" s="11">
        <v>43671</v>
      </c>
      <c r="B138" s="3">
        <v>112.77</v>
      </c>
    </row>
    <row r="139" spans="1:2" x14ac:dyDescent="0.15">
      <c r="A139" s="11">
        <v>43672</v>
      </c>
      <c r="B139" s="3">
        <v>114.73</v>
      </c>
    </row>
    <row r="140" spans="1:2" x14ac:dyDescent="0.15">
      <c r="A140" s="11">
        <v>43675</v>
      </c>
      <c r="B140" s="3">
        <v>116</v>
      </c>
    </row>
    <row r="141" spans="1:2" x14ac:dyDescent="0.15">
      <c r="A141" s="11">
        <v>43676</v>
      </c>
      <c r="B141" s="3">
        <v>120.41</v>
      </c>
    </row>
    <row r="142" spans="1:2" x14ac:dyDescent="0.15">
      <c r="A142" s="11">
        <v>43677</v>
      </c>
      <c r="B142" s="3">
        <v>118.04</v>
      </c>
    </row>
    <row r="143" spans="1:2" x14ac:dyDescent="0.15">
      <c r="A143" s="11">
        <v>43678</v>
      </c>
      <c r="B143" s="3">
        <v>116.73</v>
      </c>
    </row>
    <row r="144" spans="1:2" x14ac:dyDescent="0.15">
      <c r="A144" s="11">
        <v>43679</v>
      </c>
      <c r="B144" s="3">
        <v>116.44</v>
      </c>
    </row>
    <row r="145" spans="1:2" x14ac:dyDescent="0.15">
      <c r="A145" s="11">
        <v>43682</v>
      </c>
      <c r="B145" s="3">
        <v>113.08</v>
      </c>
    </row>
    <row r="146" spans="1:2" x14ac:dyDescent="0.15">
      <c r="A146" s="11">
        <v>43683</v>
      </c>
      <c r="B146" s="3">
        <v>114.28</v>
      </c>
    </row>
    <row r="147" spans="1:2" x14ac:dyDescent="0.15">
      <c r="A147" s="11">
        <v>43684</v>
      </c>
      <c r="B147" s="3">
        <v>115.52</v>
      </c>
    </row>
    <row r="148" spans="1:2" x14ac:dyDescent="0.15">
      <c r="A148" s="11">
        <v>43685</v>
      </c>
      <c r="B148" s="3">
        <v>117.44</v>
      </c>
    </row>
    <row r="149" spans="1:2" x14ac:dyDescent="0.15">
      <c r="A149" s="11">
        <v>43686</v>
      </c>
      <c r="B149" s="3">
        <v>116.78</v>
      </c>
    </row>
    <row r="150" spans="1:2" x14ac:dyDescent="0.15">
      <c r="A150" s="11">
        <v>43689</v>
      </c>
      <c r="B150" s="3">
        <v>116.03</v>
      </c>
    </row>
    <row r="151" spans="1:2" x14ac:dyDescent="0.15">
      <c r="A151" s="11">
        <v>43690</v>
      </c>
      <c r="B151" s="3">
        <v>117.25</v>
      </c>
    </row>
    <row r="152" spans="1:2" x14ac:dyDescent="0.15">
      <c r="A152" s="11">
        <v>43691</v>
      </c>
      <c r="B152" s="3">
        <v>115.79</v>
      </c>
    </row>
    <row r="153" spans="1:2" x14ac:dyDescent="0.15">
      <c r="A153" s="11">
        <v>43692</v>
      </c>
      <c r="B153" s="3">
        <v>117.39</v>
      </c>
    </row>
    <row r="154" spans="1:2" x14ac:dyDescent="0.15">
      <c r="A154" s="11">
        <v>43693</v>
      </c>
      <c r="B154" s="3">
        <v>119.18</v>
      </c>
    </row>
    <row r="155" spans="1:2" x14ac:dyDescent="0.15">
      <c r="A155" s="11">
        <v>43696</v>
      </c>
      <c r="B155" s="3">
        <v>120.24</v>
      </c>
    </row>
    <row r="156" spans="1:2" x14ac:dyDescent="0.15">
      <c r="A156" s="11">
        <v>43697</v>
      </c>
      <c r="B156" s="3">
        <v>118.9</v>
      </c>
    </row>
    <row r="157" spans="1:2" x14ac:dyDescent="0.15">
      <c r="A157" s="11">
        <v>43698</v>
      </c>
      <c r="B157" s="3">
        <v>119.2</v>
      </c>
    </row>
    <row r="158" spans="1:2" x14ac:dyDescent="0.15">
      <c r="A158" s="11">
        <v>43699</v>
      </c>
      <c r="B158" s="3">
        <v>119.42</v>
      </c>
    </row>
    <row r="159" spans="1:2" x14ac:dyDescent="0.15">
      <c r="A159" s="11">
        <v>43700</v>
      </c>
      <c r="B159" s="3">
        <v>117.32</v>
      </c>
    </row>
    <row r="160" spans="1:2" x14ac:dyDescent="0.15">
      <c r="A160" s="11">
        <v>43703</v>
      </c>
      <c r="B160" s="3">
        <v>119.32</v>
      </c>
    </row>
    <row r="161" spans="1:2" x14ac:dyDescent="0.15">
      <c r="A161" s="11">
        <v>43704</v>
      </c>
      <c r="B161" s="3">
        <v>120.55</v>
      </c>
    </row>
    <row r="162" spans="1:2" x14ac:dyDescent="0.15">
      <c r="A162" s="11">
        <v>43705</v>
      </c>
      <c r="B162" s="3">
        <v>121.4</v>
      </c>
    </row>
    <row r="163" spans="1:2" x14ac:dyDescent="0.15">
      <c r="A163" s="11">
        <v>43706</v>
      </c>
      <c r="B163" s="3">
        <v>121.18</v>
      </c>
    </row>
    <row r="164" spans="1:2" x14ac:dyDescent="0.15">
      <c r="A164" s="11">
        <v>43707</v>
      </c>
      <c r="B164" s="3">
        <v>120.23</v>
      </c>
    </row>
    <row r="165" spans="1:2" x14ac:dyDescent="0.15">
      <c r="A165" s="11">
        <v>43711</v>
      </c>
      <c r="B165" s="3">
        <v>121.36</v>
      </c>
    </row>
    <row r="166" spans="1:2" x14ac:dyDescent="0.15">
      <c r="A166" s="11">
        <v>43712</v>
      </c>
      <c r="B166" s="3">
        <v>123.21</v>
      </c>
    </row>
    <row r="167" spans="1:2" x14ac:dyDescent="0.15">
      <c r="A167" s="11">
        <v>43713</v>
      </c>
      <c r="B167" s="3">
        <v>122.76</v>
      </c>
    </row>
    <row r="168" spans="1:2" x14ac:dyDescent="0.15">
      <c r="A168" s="11">
        <v>43714</v>
      </c>
      <c r="B168" s="3">
        <v>122.87</v>
      </c>
    </row>
    <row r="169" spans="1:2" x14ac:dyDescent="0.15">
      <c r="A169" s="11">
        <v>43717</v>
      </c>
      <c r="B169" s="3">
        <v>122.17</v>
      </c>
    </row>
    <row r="170" spans="1:2" x14ac:dyDescent="0.15">
      <c r="A170" s="11">
        <v>43718</v>
      </c>
      <c r="B170" s="3">
        <v>119.88</v>
      </c>
    </row>
    <row r="171" spans="1:2" x14ac:dyDescent="0.15">
      <c r="A171" s="11">
        <v>43719</v>
      </c>
      <c r="B171" s="3">
        <v>121.27</v>
      </c>
    </row>
    <row r="172" spans="1:2" x14ac:dyDescent="0.15">
      <c r="A172" s="11">
        <v>43720</v>
      </c>
      <c r="B172" s="3">
        <v>122.77</v>
      </c>
    </row>
    <row r="173" spans="1:2" x14ac:dyDescent="0.15">
      <c r="A173" s="11">
        <v>43721</v>
      </c>
      <c r="B173" s="3">
        <v>122.12</v>
      </c>
    </row>
    <row r="174" spans="1:2" x14ac:dyDescent="0.15">
      <c r="A174" s="11">
        <v>43724</v>
      </c>
      <c r="B174" s="3">
        <v>119.75</v>
      </c>
    </row>
    <row r="175" spans="1:2" x14ac:dyDescent="0.15">
      <c r="A175" s="11">
        <v>43725</v>
      </c>
      <c r="B175" s="3">
        <v>121.16</v>
      </c>
    </row>
    <row r="176" spans="1:2" x14ac:dyDescent="0.15">
      <c r="A176" s="11">
        <v>43726</v>
      </c>
      <c r="B176" s="3">
        <v>121.41</v>
      </c>
    </row>
    <row r="177" spans="1:2" x14ac:dyDescent="0.15">
      <c r="A177" s="11">
        <v>43727</v>
      </c>
      <c r="B177" s="3">
        <v>121.9</v>
      </c>
    </row>
    <row r="178" spans="1:2" x14ac:dyDescent="0.15">
      <c r="A178" s="11">
        <v>43728</v>
      </c>
      <c r="B178" s="3">
        <v>122.24</v>
      </c>
    </row>
    <row r="179" spans="1:2" x14ac:dyDescent="0.15">
      <c r="A179" s="11">
        <v>43731</v>
      </c>
      <c r="B179" s="3">
        <v>123.22</v>
      </c>
    </row>
    <row r="180" spans="1:2" x14ac:dyDescent="0.15">
      <c r="A180" s="11">
        <v>43732</v>
      </c>
      <c r="B180" s="3">
        <v>123.61</v>
      </c>
    </row>
    <row r="181" spans="1:2" x14ac:dyDescent="0.15">
      <c r="A181" s="11">
        <v>43733</v>
      </c>
      <c r="B181" s="3">
        <v>123.02</v>
      </c>
    </row>
    <row r="182" spans="1:2" x14ac:dyDescent="0.15">
      <c r="A182" s="11">
        <v>43734</v>
      </c>
      <c r="B182" s="3">
        <v>124.31</v>
      </c>
    </row>
    <row r="183" spans="1:2" x14ac:dyDescent="0.15">
      <c r="A183" s="11">
        <v>43735</v>
      </c>
      <c r="B183" s="3">
        <v>124.57</v>
      </c>
    </row>
    <row r="184" spans="1:2" x14ac:dyDescent="0.15">
      <c r="A184" s="11">
        <v>43738</v>
      </c>
      <c r="B184" s="3">
        <v>124.38</v>
      </c>
    </row>
    <row r="185" spans="1:2" x14ac:dyDescent="0.15">
      <c r="A185" s="11">
        <v>43739</v>
      </c>
      <c r="B185" s="3">
        <v>123.85</v>
      </c>
    </row>
    <row r="186" spans="1:2" x14ac:dyDescent="0.15">
      <c r="A186" s="11">
        <v>43740</v>
      </c>
      <c r="B186" s="3">
        <v>121.08</v>
      </c>
    </row>
    <row r="187" spans="1:2" x14ac:dyDescent="0.15">
      <c r="A187" s="11">
        <v>43741</v>
      </c>
      <c r="B187" s="3">
        <v>121.74</v>
      </c>
    </row>
    <row r="188" spans="1:2" x14ac:dyDescent="0.15">
      <c r="A188" s="11">
        <v>43742</v>
      </c>
      <c r="B188" s="3">
        <v>124</v>
      </c>
    </row>
    <row r="189" spans="1:2" x14ac:dyDescent="0.15">
      <c r="A189" s="11">
        <v>43745</v>
      </c>
      <c r="B189" s="3">
        <v>122.84</v>
      </c>
    </row>
    <row r="190" spans="1:2" x14ac:dyDescent="0.15">
      <c r="A190" s="11">
        <v>43746</v>
      </c>
      <c r="B190" s="3">
        <v>120.93</v>
      </c>
    </row>
    <row r="191" spans="1:2" x14ac:dyDescent="0.15">
      <c r="A191" s="11">
        <v>43747</v>
      </c>
      <c r="B191" s="3">
        <v>121.98</v>
      </c>
    </row>
    <row r="192" spans="1:2" x14ac:dyDescent="0.15">
      <c r="A192" s="11">
        <v>43748</v>
      </c>
      <c r="B192" s="3">
        <v>121.94</v>
      </c>
    </row>
    <row r="193" spans="1:2" x14ac:dyDescent="0.15">
      <c r="A193" s="11">
        <v>43749</v>
      </c>
      <c r="B193" s="3">
        <v>121.09</v>
      </c>
    </row>
    <row r="194" spans="1:2" x14ac:dyDescent="0.15">
      <c r="A194" s="11">
        <v>43752</v>
      </c>
      <c r="B194" s="3">
        <v>120.05</v>
      </c>
    </row>
    <row r="195" spans="1:2" x14ac:dyDescent="0.15">
      <c r="A195" s="11">
        <v>43753</v>
      </c>
      <c r="B195" s="3">
        <v>117.2</v>
      </c>
    </row>
    <row r="196" spans="1:2" x14ac:dyDescent="0.15">
      <c r="A196" s="11">
        <v>43754</v>
      </c>
      <c r="B196" s="3">
        <v>117.53</v>
      </c>
    </row>
    <row r="197" spans="1:2" x14ac:dyDescent="0.15">
      <c r="A197" s="11">
        <v>43755</v>
      </c>
      <c r="B197" s="3">
        <v>116.63</v>
      </c>
    </row>
    <row r="198" spans="1:2" x14ac:dyDescent="0.15">
      <c r="A198" s="11">
        <v>43756</v>
      </c>
      <c r="B198" s="3">
        <v>117.47</v>
      </c>
    </row>
    <row r="199" spans="1:2" x14ac:dyDescent="0.15">
      <c r="A199" s="11">
        <v>43759</v>
      </c>
      <c r="B199" s="3">
        <v>119.08</v>
      </c>
    </row>
    <row r="200" spans="1:2" x14ac:dyDescent="0.15">
      <c r="A200" s="11">
        <v>43760</v>
      </c>
      <c r="B200" s="3">
        <v>122.18</v>
      </c>
    </row>
    <row r="201" spans="1:2" x14ac:dyDescent="0.15">
      <c r="A201" s="11">
        <v>43761</v>
      </c>
      <c r="B201" s="3">
        <v>123</v>
      </c>
    </row>
    <row r="202" spans="1:2" x14ac:dyDescent="0.15">
      <c r="A202" s="11">
        <v>43762</v>
      </c>
      <c r="B202" s="3">
        <v>124.79</v>
      </c>
    </row>
    <row r="203" spans="1:2" x14ac:dyDescent="0.15">
      <c r="A203" s="11">
        <v>43763</v>
      </c>
      <c r="B203" s="3">
        <v>123.25</v>
      </c>
    </row>
    <row r="204" spans="1:2" x14ac:dyDescent="0.15">
      <c r="A204" s="11">
        <v>43766</v>
      </c>
      <c r="B204" s="3">
        <v>123.48</v>
      </c>
    </row>
    <row r="205" spans="1:2" x14ac:dyDescent="0.15">
      <c r="A205" s="11">
        <v>43767</v>
      </c>
      <c r="B205" s="3">
        <v>123.6</v>
      </c>
    </row>
    <row r="206" spans="1:2" x14ac:dyDescent="0.15">
      <c r="A206" s="11">
        <v>43768</v>
      </c>
      <c r="B206" s="3">
        <v>124.94</v>
      </c>
    </row>
    <row r="207" spans="1:2" x14ac:dyDescent="0.15">
      <c r="A207" s="11">
        <v>43769</v>
      </c>
      <c r="B207" s="3">
        <v>124.51</v>
      </c>
    </row>
    <row r="208" spans="1:2" x14ac:dyDescent="0.15">
      <c r="A208" s="11">
        <v>43770</v>
      </c>
      <c r="B208" s="3">
        <v>123.87</v>
      </c>
    </row>
    <row r="209" spans="1:2" x14ac:dyDescent="0.15">
      <c r="A209" s="11">
        <v>43773</v>
      </c>
      <c r="B209" s="3">
        <v>119.07</v>
      </c>
    </row>
    <row r="210" spans="1:2" x14ac:dyDescent="0.15">
      <c r="A210" s="11">
        <v>43774</v>
      </c>
      <c r="B210" s="3">
        <v>118.9</v>
      </c>
    </row>
    <row r="211" spans="1:2" x14ac:dyDescent="0.15">
      <c r="A211" s="11">
        <v>43775</v>
      </c>
      <c r="B211" s="3">
        <v>120.32</v>
      </c>
    </row>
    <row r="212" spans="1:2" x14ac:dyDescent="0.15">
      <c r="A212" s="11">
        <v>43776</v>
      </c>
      <c r="B212" s="3">
        <v>119.62</v>
      </c>
    </row>
    <row r="213" spans="1:2" x14ac:dyDescent="0.15">
      <c r="A213" s="11">
        <v>43777</v>
      </c>
      <c r="B213" s="3">
        <v>119.7</v>
      </c>
    </row>
    <row r="214" spans="1:2" x14ac:dyDescent="0.15">
      <c r="A214" s="11">
        <v>43780</v>
      </c>
      <c r="B214" s="3">
        <v>119.33</v>
      </c>
    </row>
    <row r="215" spans="1:2" x14ac:dyDescent="0.15">
      <c r="A215" s="11">
        <v>43781</v>
      </c>
      <c r="B215" s="3">
        <v>119.27</v>
      </c>
    </row>
    <row r="216" spans="1:2" x14ac:dyDescent="0.15">
      <c r="A216" s="11">
        <v>43782</v>
      </c>
      <c r="B216" s="3">
        <v>120.65</v>
      </c>
    </row>
    <row r="217" spans="1:2" x14ac:dyDescent="0.15">
      <c r="A217" s="11">
        <v>43783</v>
      </c>
      <c r="B217" s="3">
        <v>120.5</v>
      </c>
    </row>
    <row r="218" spans="1:2" x14ac:dyDescent="0.15">
      <c r="A218" s="11">
        <v>43784</v>
      </c>
      <c r="B218" s="3">
        <v>120.54</v>
      </c>
    </row>
    <row r="219" spans="1:2" x14ac:dyDescent="0.15">
      <c r="A219" s="11">
        <v>43787</v>
      </c>
      <c r="B219" s="3">
        <v>121.89</v>
      </c>
    </row>
    <row r="220" spans="1:2" x14ac:dyDescent="0.15">
      <c r="A220" s="11">
        <v>43788</v>
      </c>
      <c r="B220" s="3">
        <v>121.42</v>
      </c>
    </row>
    <row r="221" spans="1:2" x14ac:dyDescent="0.15">
      <c r="A221" s="11">
        <v>43789</v>
      </c>
      <c r="B221" s="3">
        <v>122.29</v>
      </c>
    </row>
    <row r="222" spans="1:2" x14ac:dyDescent="0.15">
      <c r="A222" s="11">
        <v>43790</v>
      </c>
      <c r="B222" s="3">
        <v>120.34</v>
      </c>
    </row>
    <row r="223" spans="1:2" x14ac:dyDescent="0.15">
      <c r="A223" s="11">
        <v>43791</v>
      </c>
      <c r="B223" s="3">
        <v>120.29</v>
      </c>
    </row>
    <row r="224" spans="1:2" x14ac:dyDescent="0.15">
      <c r="A224" s="11">
        <v>43794</v>
      </c>
      <c r="B224" s="3">
        <v>120.51</v>
      </c>
    </row>
    <row r="225" spans="1:2" x14ac:dyDescent="0.15">
      <c r="A225" s="11">
        <v>43795</v>
      </c>
      <c r="B225" s="3">
        <v>122.26</v>
      </c>
    </row>
    <row r="226" spans="1:2" x14ac:dyDescent="0.15">
      <c r="A226" s="11">
        <v>43796</v>
      </c>
      <c r="B226" s="3">
        <v>121.76</v>
      </c>
    </row>
    <row r="227" spans="1:2" x14ac:dyDescent="0.15">
      <c r="A227" s="11">
        <v>43798</v>
      </c>
      <c r="B227" s="3">
        <v>122.06</v>
      </c>
    </row>
    <row r="228" spans="1:2" x14ac:dyDescent="0.15">
      <c r="A228" s="11">
        <v>43801</v>
      </c>
      <c r="B228" s="3">
        <v>122.72</v>
      </c>
    </row>
    <row r="229" spans="1:2" x14ac:dyDescent="0.15">
      <c r="A229" s="11">
        <v>43802</v>
      </c>
      <c r="B229" s="3">
        <v>122.95</v>
      </c>
    </row>
    <row r="230" spans="1:2" x14ac:dyDescent="0.15">
      <c r="A230" s="11">
        <v>43803</v>
      </c>
      <c r="B230" s="3">
        <v>124.53</v>
      </c>
    </row>
    <row r="231" spans="1:2" x14ac:dyDescent="0.15">
      <c r="A231" s="11">
        <v>43804</v>
      </c>
      <c r="B231" s="3">
        <v>124.62</v>
      </c>
    </row>
    <row r="232" spans="1:2" x14ac:dyDescent="0.15">
      <c r="A232" s="11">
        <v>43805</v>
      </c>
      <c r="B232" s="3">
        <v>124.19</v>
      </c>
    </row>
    <row r="233" spans="1:2" x14ac:dyDescent="0.15">
      <c r="A233" s="11">
        <v>43808</v>
      </c>
      <c r="B233" s="3">
        <v>124.87</v>
      </c>
    </row>
    <row r="234" spans="1:2" x14ac:dyDescent="0.15">
      <c r="A234" s="11">
        <v>43809</v>
      </c>
      <c r="B234" s="3">
        <v>124.27</v>
      </c>
    </row>
    <row r="235" spans="1:2" x14ac:dyDescent="0.15">
      <c r="A235" s="11">
        <v>43810</v>
      </c>
      <c r="B235" s="3">
        <v>124.66</v>
      </c>
    </row>
    <row r="236" spans="1:2" x14ac:dyDescent="0.15">
      <c r="A236" s="11">
        <v>43811</v>
      </c>
      <c r="B236" s="3">
        <v>124.57</v>
      </c>
    </row>
    <row r="237" spans="1:2" x14ac:dyDescent="0.15">
      <c r="A237" s="11">
        <v>43812</v>
      </c>
      <c r="B237" s="3">
        <v>125.47</v>
      </c>
    </row>
    <row r="238" spans="1:2" x14ac:dyDescent="0.15">
      <c r="A238" s="11">
        <v>43815</v>
      </c>
      <c r="B238" s="3">
        <v>125.56</v>
      </c>
    </row>
    <row r="239" spans="1:2" x14ac:dyDescent="0.15">
      <c r="A239" s="11">
        <v>43816</v>
      </c>
      <c r="B239" s="3">
        <v>125.31</v>
      </c>
    </row>
    <row r="240" spans="1:2" x14ac:dyDescent="0.15">
      <c r="A240" s="11">
        <v>43817</v>
      </c>
      <c r="B240" s="3">
        <v>124.01</v>
      </c>
    </row>
    <row r="241" spans="1:2" x14ac:dyDescent="0.15">
      <c r="A241" s="11">
        <v>43818</v>
      </c>
      <c r="B241" s="3">
        <v>124.92</v>
      </c>
    </row>
    <row r="242" spans="1:2" x14ac:dyDescent="0.15">
      <c r="A242" s="11">
        <v>43819</v>
      </c>
      <c r="B242" s="3">
        <v>125.36</v>
      </c>
    </row>
    <row r="243" spans="1:2" x14ac:dyDescent="0.15">
      <c r="A243" s="11">
        <v>43822</v>
      </c>
      <c r="B243" s="3">
        <v>124.9</v>
      </c>
    </row>
    <row r="244" spans="1:2" x14ac:dyDescent="0.15">
      <c r="A244" s="11">
        <v>43823</v>
      </c>
      <c r="B244" s="3">
        <v>125.22</v>
      </c>
    </row>
    <row r="245" spans="1:2" x14ac:dyDescent="0.15">
      <c r="A245" s="11">
        <v>43825</v>
      </c>
      <c r="B245" s="3">
        <v>125.22</v>
      </c>
    </row>
    <row r="246" spans="1:2" x14ac:dyDescent="0.15">
      <c r="A246" s="11">
        <v>43826</v>
      </c>
      <c r="B246" s="3">
        <v>126.09</v>
      </c>
    </row>
    <row r="247" spans="1:2" x14ac:dyDescent="0.15">
      <c r="A247" s="11">
        <v>43829</v>
      </c>
      <c r="B247" s="3">
        <v>124.47</v>
      </c>
    </row>
    <row r="248" spans="1:2" x14ac:dyDescent="0.15">
      <c r="A248" s="11">
        <v>43830</v>
      </c>
      <c r="B248" s="3">
        <v>124.9</v>
      </c>
    </row>
    <row r="249" spans="1:2" x14ac:dyDescent="0.15">
      <c r="A249" s="11">
        <v>43832</v>
      </c>
      <c r="B249" s="3">
        <v>123.41</v>
      </c>
    </row>
    <row r="250" spans="1:2" x14ac:dyDescent="0.15">
      <c r="A250" s="11">
        <v>43833</v>
      </c>
      <c r="B250" s="3">
        <v>122.58</v>
      </c>
    </row>
    <row r="251" spans="1:2" x14ac:dyDescent="0.15">
      <c r="A251" s="11">
        <v>43836</v>
      </c>
      <c r="B251" s="3">
        <v>122.75</v>
      </c>
    </row>
    <row r="252" spans="1:2" x14ac:dyDescent="0.15">
      <c r="A252" s="11">
        <v>43837</v>
      </c>
      <c r="B252" s="3">
        <v>121.99</v>
      </c>
    </row>
    <row r="253" spans="1:2" x14ac:dyDescent="0.15">
      <c r="A253" s="11">
        <v>43838</v>
      </c>
      <c r="B253" s="3">
        <v>122.51</v>
      </c>
    </row>
    <row r="254" spans="1:2" x14ac:dyDescent="0.15">
      <c r="A254" s="11">
        <v>43839</v>
      </c>
      <c r="B254" s="3">
        <v>123.85</v>
      </c>
    </row>
    <row r="255" spans="1:2" x14ac:dyDescent="0.15">
      <c r="A255" s="11">
        <v>43840</v>
      </c>
      <c r="B255" s="3">
        <v>123.97</v>
      </c>
    </row>
    <row r="256" spans="1:2" x14ac:dyDescent="0.15">
      <c r="A256" s="11">
        <v>43843</v>
      </c>
      <c r="B256" s="3">
        <v>124.88</v>
      </c>
    </row>
    <row r="257" spans="1:2" x14ac:dyDescent="0.15">
      <c r="A257" s="11">
        <v>43844</v>
      </c>
      <c r="B257" s="3">
        <v>124.69</v>
      </c>
    </row>
    <row r="258" spans="1:2" x14ac:dyDescent="0.15">
      <c r="A258" s="11">
        <v>43845</v>
      </c>
      <c r="B258" s="3">
        <v>125.96</v>
      </c>
    </row>
    <row r="259" spans="1:2" x14ac:dyDescent="0.15">
      <c r="A259" s="11">
        <v>43846</v>
      </c>
      <c r="B259" s="3">
        <v>126.07</v>
      </c>
    </row>
    <row r="260" spans="1:2" x14ac:dyDescent="0.15">
      <c r="A260" s="11">
        <v>43847</v>
      </c>
      <c r="B260" s="3">
        <v>126.41</v>
      </c>
    </row>
    <row r="261" spans="1:2" x14ac:dyDescent="0.15">
      <c r="A261" s="11">
        <v>43851</v>
      </c>
      <c r="B261" s="3">
        <v>126.09</v>
      </c>
    </row>
    <row r="262" spans="1:2" x14ac:dyDescent="0.15">
      <c r="A262" s="11">
        <v>43852</v>
      </c>
      <c r="B262" s="3">
        <v>126.31</v>
      </c>
    </row>
    <row r="263" spans="1:2" x14ac:dyDescent="0.15">
      <c r="A263" s="11">
        <v>43853</v>
      </c>
      <c r="B263" s="3">
        <v>124.99</v>
      </c>
    </row>
    <row r="264" spans="1:2" x14ac:dyDescent="0.15">
      <c r="A264" s="11">
        <v>43854</v>
      </c>
      <c r="B264" s="3">
        <v>125.14</v>
      </c>
    </row>
    <row r="265" spans="1:2" x14ac:dyDescent="0.15">
      <c r="A265" s="11">
        <v>43857</v>
      </c>
      <c r="B265" s="3">
        <v>125.69</v>
      </c>
    </row>
    <row r="266" spans="1:2" x14ac:dyDescent="0.15">
      <c r="A266" s="11">
        <v>43858</v>
      </c>
      <c r="B266" s="3">
        <v>126.03</v>
      </c>
    </row>
    <row r="267" spans="1:2" x14ac:dyDescent="0.15">
      <c r="A267" s="11">
        <v>43859</v>
      </c>
      <c r="B267" s="3">
        <v>125.06</v>
      </c>
    </row>
    <row r="268" spans="1:2" x14ac:dyDescent="0.15">
      <c r="A268" s="11">
        <v>43860</v>
      </c>
      <c r="B268" s="3">
        <v>125.95</v>
      </c>
    </row>
    <row r="269" spans="1:2" x14ac:dyDescent="0.15">
      <c r="A269" s="11">
        <v>43861</v>
      </c>
      <c r="B269" s="3">
        <v>124.62</v>
      </c>
    </row>
    <row r="270" spans="1:2" x14ac:dyDescent="0.15">
      <c r="A270" s="11">
        <v>43864</v>
      </c>
      <c r="B270" s="3">
        <v>125.11</v>
      </c>
    </row>
    <row r="271" spans="1:2" x14ac:dyDescent="0.15">
      <c r="A271" s="11">
        <v>43865</v>
      </c>
      <c r="B271" s="3">
        <v>125.66</v>
      </c>
    </row>
    <row r="272" spans="1:2" x14ac:dyDescent="0.15">
      <c r="A272" s="11">
        <v>43866</v>
      </c>
      <c r="B272" s="3">
        <v>126.81</v>
      </c>
    </row>
    <row r="273" spans="1:2" x14ac:dyDescent="0.15">
      <c r="A273" s="11">
        <v>43867</v>
      </c>
      <c r="B273" s="3">
        <v>127.14</v>
      </c>
    </row>
    <row r="274" spans="1:2" x14ac:dyDescent="0.15">
      <c r="A274" s="11">
        <v>43868</v>
      </c>
      <c r="B274" s="3">
        <v>126.08</v>
      </c>
    </row>
    <row r="275" spans="1:2" x14ac:dyDescent="0.15">
      <c r="A275" s="11">
        <v>43871</v>
      </c>
      <c r="B275" s="3">
        <v>126.17</v>
      </c>
    </row>
    <row r="276" spans="1:2" x14ac:dyDescent="0.15">
      <c r="A276" s="11">
        <v>43872</v>
      </c>
      <c r="B276" s="3">
        <v>124.16</v>
      </c>
    </row>
    <row r="277" spans="1:2" x14ac:dyDescent="0.15">
      <c r="A277" s="11">
        <v>43873</v>
      </c>
      <c r="B277" s="3">
        <v>123.45</v>
      </c>
    </row>
    <row r="278" spans="1:2" x14ac:dyDescent="0.15">
      <c r="A278" s="11">
        <v>43874</v>
      </c>
      <c r="B278" s="3">
        <v>124.96</v>
      </c>
    </row>
    <row r="279" spans="1:2" x14ac:dyDescent="0.15">
      <c r="A279" s="11">
        <v>43875</v>
      </c>
      <c r="B279" s="3">
        <v>126.14</v>
      </c>
    </row>
    <row r="280" spans="1:2" x14ac:dyDescent="0.15">
      <c r="A280" s="11">
        <v>43879</v>
      </c>
      <c r="B280" s="3">
        <v>124.87</v>
      </c>
    </row>
    <row r="281" spans="1:2" x14ac:dyDescent="0.15">
      <c r="A281" s="11">
        <v>43880</v>
      </c>
      <c r="B281" s="3">
        <v>125.44</v>
      </c>
    </row>
    <row r="282" spans="1:2" x14ac:dyDescent="0.15">
      <c r="A282" s="11">
        <v>43881</v>
      </c>
      <c r="B282" s="3">
        <v>126.58</v>
      </c>
    </row>
    <row r="283" spans="1:2" x14ac:dyDescent="0.15">
      <c r="A283" s="11">
        <v>43882</v>
      </c>
      <c r="B283" s="3">
        <v>126.7</v>
      </c>
    </row>
    <row r="284" spans="1:2" x14ac:dyDescent="0.15">
      <c r="A284" s="11">
        <v>43885</v>
      </c>
      <c r="B284" s="3">
        <v>123.3</v>
      </c>
    </row>
    <row r="285" spans="1:2" x14ac:dyDescent="0.15">
      <c r="A285" s="11">
        <v>43886</v>
      </c>
      <c r="B285" s="3">
        <v>121.43</v>
      </c>
    </row>
    <row r="286" spans="1:2" x14ac:dyDescent="0.15">
      <c r="A286" s="11">
        <v>43887</v>
      </c>
      <c r="B286" s="3">
        <v>120.16</v>
      </c>
    </row>
    <row r="287" spans="1:2" x14ac:dyDescent="0.15">
      <c r="A287" s="11">
        <v>43888</v>
      </c>
      <c r="B287" s="3">
        <v>113.5</v>
      </c>
    </row>
    <row r="288" spans="1:2" x14ac:dyDescent="0.15">
      <c r="A288" s="11">
        <v>43889</v>
      </c>
      <c r="B288" s="3">
        <v>113.23</v>
      </c>
    </row>
    <row r="289" spans="1:3" x14ac:dyDescent="0.15">
      <c r="A289" s="11">
        <v>43892</v>
      </c>
      <c r="B289" s="3">
        <v>119.56</v>
      </c>
      <c r="C289" t="s">
        <v>17</v>
      </c>
    </row>
    <row r="290" spans="1:3" x14ac:dyDescent="0.15">
      <c r="A290" s="11">
        <v>43893</v>
      </c>
      <c r="B290" s="3">
        <v>118.17</v>
      </c>
      <c r="C290" s="3">
        <f>((B290-B289)/B289)*100</f>
        <v>-1.1625961860153902</v>
      </c>
    </row>
    <row r="291" spans="1:3" x14ac:dyDescent="0.15">
      <c r="A291" s="11">
        <v>43894</v>
      </c>
      <c r="B291" s="3">
        <v>124.5</v>
      </c>
      <c r="C291" s="3">
        <f t="shared" ref="C291:C311" si="0">((B291-B290)/B290)*100</f>
        <v>5.3566895151053551</v>
      </c>
    </row>
    <row r="292" spans="1:3" x14ac:dyDescent="0.15">
      <c r="A292" s="11">
        <v>43895</v>
      </c>
      <c r="B292" s="3">
        <v>121.63</v>
      </c>
      <c r="C292" s="3">
        <f t="shared" si="0"/>
        <v>-2.3052208835341403</v>
      </c>
    </row>
    <row r="293" spans="1:3" x14ac:dyDescent="0.15">
      <c r="A293" s="11">
        <v>43896</v>
      </c>
      <c r="B293" s="3">
        <v>121.66</v>
      </c>
      <c r="C293" s="3">
        <f t="shared" si="0"/>
        <v>2.466496752446036E-2</v>
      </c>
    </row>
    <row r="294" spans="1:3" x14ac:dyDescent="0.15">
      <c r="A294" s="11">
        <v>43899</v>
      </c>
      <c r="B294" s="3">
        <v>116.06</v>
      </c>
      <c r="C294" s="3">
        <f t="shared" si="0"/>
        <v>-4.6029919447640921</v>
      </c>
    </row>
    <row r="295" spans="1:3" x14ac:dyDescent="0.15">
      <c r="A295" s="11">
        <v>43900</v>
      </c>
      <c r="B295" s="3">
        <v>120.55</v>
      </c>
      <c r="C295" s="3">
        <f t="shared" si="0"/>
        <v>3.8686886093399924</v>
      </c>
    </row>
    <row r="296" spans="1:3" x14ac:dyDescent="0.15">
      <c r="A296" s="11">
        <v>43901</v>
      </c>
      <c r="B296" s="3">
        <v>111.59</v>
      </c>
      <c r="C296" s="3">
        <f t="shared" si="0"/>
        <v>-7.4326005806719149</v>
      </c>
    </row>
    <row r="297" spans="1:3" x14ac:dyDescent="0.15">
      <c r="A297" s="11">
        <v>43902</v>
      </c>
      <c r="B297" s="3">
        <v>101.84</v>
      </c>
      <c r="C297" s="3">
        <f t="shared" si="0"/>
        <v>-8.7373420557397612</v>
      </c>
    </row>
    <row r="298" spans="1:3" x14ac:dyDescent="0.15">
      <c r="A298" s="11">
        <v>43903</v>
      </c>
      <c r="B298" s="3">
        <v>114.07</v>
      </c>
      <c r="C298" s="3">
        <f t="shared" si="0"/>
        <v>12.009033778476031</v>
      </c>
    </row>
    <row r="299" spans="1:3" x14ac:dyDescent="0.15">
      <c r="A299" s="11">
        <v>43906</v>
      </c>
      <c r="B299" s="3">
        <v>108.5</v>
      </c>
      <c r="C299" s="3">
        <f t="shared" si="0"/>
        <v>-4.8829665994564682</v>
      </c>
    </row>
    <row r="300" spans="1:3" x14ac:dyDescent="0.15">
      <c r="A300" s="11">
        <v>43907</v>
      </c>
      <c r="B300" s="3">
        <v>118.24</v>
      </c>
      <c r="C300" s="3">
        <f t="shared" si="0"/>
        <v>8.9769585253456174</v>
      </c>
    </row>
    <row r="301" spans="1:3" x14ac:dyDescent="0.15">
      <c r="A301" s="11">
        <v>43908</v>
      </c>
      <c r="B301" s="3">
        <v>117.45</v>
      </c>
      <c r="C301" s="3">
        <f t="shared" si="0"/>
        <v>-0.66813261163734106</v>
      </c>
    </row>
    <row r="302" spans="1:3" x14ac:dyDescent="0.15">
      <c r="A302" s="11">
        <v>43909</v>
      </c>
      <c r="B302" s="3">
        <v>110.83</v>
      </c>
      <c r="C302" s="3">
        <f t="shared" si="0"/>
        <v>-5.6364410387398927</v>
      </c>
    </row>
    <row r="303" spans="1:3" x14ac:dyDescent="0.15">
      <c r="A303" s="11">
        <v>43910</v>
      </c>
      <c r="B303" s="3">
        <v>102.43</v>
      </c>
      <c r="C303" s="3">
        <f t="shared" si="0"/>
        <v>-7.5791753135432574</v>
      </c>
    </row>
    <row r="304" spans="1:3" x14ac:dyDescent="0.15">
      <c r="A304" s="11">
        <v>43913</v>
      </c>
      <c r="B304" s="3">
        <v>97.7</v>
      </c>
      <c r="C304" s="3">
        <f t="shared" si="0"/>
        <v>-4.617787757492926</v>
      </c>
    </row>
    <row r="305" spans="1:3" x14ac:dyDescent="0.15">
      <c r="A305" s="11">
        <v>43914</v>
      </c>
      <c r="B305" s="3">
        <v>103.27</v>
      </c>
      <c r="C305" s="3">
        <f t="shared" si="0"/>
        <v>5.7011258955987643</v>
      </c>
    </row>
    <row r="306" spans="1:3" x14ac:dyDescent="0.15">
      <c r="A306" s="11">
        <v>43915</v>
      </c>
      <c r="B306" s="3">
        <v>100.92</v>
      </c>
      <c r="C306" s="3">
        <f t="shared" si="0"/>
        <v>-2.2755882637745661</v>
      </c>
    </row>
    <row r="307" spans="1:3" x14ac:dyDescent="0.15">
      <c r="A307" s="11">
        <v>43916</v>
      </c>
      <c r="B307" s="3">
        <v>107.38</v>
      </c>
      <c r="C307" s="3">
        <f t="shared" si="0"/>
        <v>6.4011097899326135</v>
      </c>
    </row>
    <row r="308" spans="1:3" x14ac:dyDescent="0.15">
      <c r="A308" s="11">
        <v>43917</v>
      </c>
      <c r="B308" s="3">
        <v>110.17</v>
      </c>
      <c r="C308" s="3">
        <f t="shared" si="0"/>
        <v>2.5982492084187059</v>
      </c>
    </row>
    <row r="309" spans="1:3" x14ac:dyDescent="0.15">
      <c r="A309" s="11">
        <v>43920</v>
      </c>
      <c r="B309" s="3">
        <v>115</v>
      </c>
      <c r="C309" s="3">
        <f t="shared" si="0"/>
        <v>4.3841336116910217</v>
      </c>
    </row>
    <row r="310" spans="1:3" x14ac:dyDescent="0.15">
      <c r="A310" s="11">
        <v>43921</v>
      </c>
      <c r="B310" s="3">
        <v>110</v>
      </c>
      <c r="C310" s="3">
        <f t="shared" si="0"/>
        <v>-4.3478260869565215</v>
      </c>
    </row>
    <row r="311" spans="1:3" x14ac:dyDescent="0.15">
      <c r="A311" s="11">
        <v>43922</v>
      </c>
      <c r="B311" s="3">
        <v>109.33</v>
      </c>
      <c r="C311" s="3">
        <f t="shared" si="0"/>
        <v>-0.60909090909091057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4:D311"/>
  <sheetViews>
    <sheetView topLeftCell="A278" workbookViewId="0">
      <selection activeCell="D290" sqref="D290:D311"/>
    </sheetView>
  </sheetViews>
  <sheetFormatPr baseColWidth="10" defaultRowHeight="13" x14ac:dyDescent="0.15"/>
  <cols>
    <col min="1" max="1" width="11.5" bestFit="1" customWidth="1"/>
    <col min="2" max="2" width="26.1640625" bestFit="1" customWidth="1"/>
    <col min="3" max="256" width="8.83203125" customWidth="1"/>
  </cols>
  <sheetData>
    <row r="34" spans="1:2" x14ac:dyDescent="0.15">
      <c r="A34" t="s">
        <v>4</v>
      </c>
      <c r="B34" s="3">
        <f>AVERAGE(B37:B288)</f>
        <v>3008.6527381686406</v>
      </c>
    </row>
    <row r="35" spans="1:2" x14ac:dyDescent="0.15">
      <c r="A35" t="s">
        <v>5</v>
      </c>
      <c r="B35" s="3">
        <f>STDEV(B37:B288)</f>
        <v>161.36681362835719</v>
      </c>
    </row>
    <row r="36" spans="1:2" x14ac:dyDescent="0.15">
      <c r="A36" t="s">
        <v>0</v>
      </c>
      <c r="B36" t="s">
        <v>2</v>
      </c>
    </row>
    <row r="37" spans="1:2" x14ac:dyDescent="0.15">
      <c r="A37" s="1">
        <v>43525</v>
      </c>
      <c r="B37" s="2">
        <v>2803.6943543530765</v>
      </c>
    </row>
    <row r="38" spans="1:2" x14ac:dyDescent="0.15">
      <c r="A38" s="1">
        <v>43528</v>
      </c>
      <c r="B38" s="2">
        <v>2792.8109017188544</v>
      </c>
    </row>
    <row r="39" spans="1:2" x14ac:dyDescent="0.15">
      <c r="A39" s="1">
        <v>43529</v>
      </c>
      <c r="B39" s="2">
        <v>2789.6509801528641</v>
      </c>
    </row>
    <row r="40" spans="1:2" x14ac:dyDescent="0.15">
      <c r="A40" s="1">
        <v>43530</v>
      </c>
      <c r="B40" s="2">
        <v>2771.4476422090356</v>
      </c>
    </row>
    <row r="41" spans="1:2" x14ac:dyDescent="0.15">
      <c r="A41" s="1">
        <v>43531</v>
      </c>
      <c r="B41" s="2">
        <v>2748.9257803355367</v>
      </c>
    </row>
    <row r="42" spans="1:2" x14ac:dyDescent="0.15">
      <c r="A42" s="1">
        <v>43532</v>
      </c>
      <c r="B42" s="2">
        <v>2743.0676692161346</v>
      </c>
    </row>
    <row r="43" spans="1:2" x14ac:dyDescent="0.15">
      <c r="A43" s="1">
        <v>43535</v>
      </c>
      <c r="B43" s="2">
        <v>2783.2950066621156</v>
      </c>
    </row>
    <row r="44" spans="1:2" x14ac:dyDescent="0.15">
      <c r="A44" s="1">
        <v>43536</v>
      </c>
      <c r="B44" s="2">
        <v>2791.5222805753579</v>
      </c>
    </row>
    <row r="45" spans="1:2" x14ac:dyDescent="0.15">
      <c r="A45" s="1">
        <v>43537</v>
      </c>
      <c r="B45" s="2">
        <v>2810.9175122646666</v>
      </c>
    </row>
    <row r="46" spans="1:2" x14ac:dyDescent="0.15">
      <c r="A46" s="1">
        <v>43538</v>
      </c>
      <c r="B46" s="2">
        <v>2808.4827876644808</v>
      </c>
    </row>
    <row r="47" spans="1:2" x14ac:dyDescent="0.15">
      <c r="A47" s="1">
        <v>43539</v>
      </c>
      <c r="B47" s="2">
        <v>2822.4766492394797</v>
      </c>
    </row>
    <row r="48" spans="1:2" x14ac:dyDescent="0.15">
      <c r="A48" s="1">
        <v>43542</v>
      </c>
      <c r="B48" s="2">
        <v>2832.9405791163622</v>
      </c>
    </row>
    <row r="49" spans="1:2" x14ac:dyDescent="0.15">
      <c r="A49" s="1">
        <v>43543</v>
      </c>
      <c r="B49" s="2">
        <v>2832.5673856183626</v>
      </c>
    </row>
    <row r="50" spans="1:2" x14ac:dyDescent="0.15">
      <c r="A50" s="1">
        <v>43544</v>
      </c>
      <c r="B50" s="2">
        <v>2824.2258141318821</v>
      </c>
    </row>
    <row r="51" spans="1:2" x14ac:dyDescent="0.15">
      <c r="A51" s="1">
        <v>43545</v>
      </c>
      <c r="B51" s="2">
        <v>2854.8766697000342</v>
      </c>
    </row>
    <row r="52" spans="1:2" x14ac:dyDescent="0.15">
      <c r="A52" s="1">
        <v>43546</v>
      </c>
      <c r="B52" s="2">
        <v>2800.7124470588578</v>
      </c>
    </row>
    <row r="53" spans="1:2" x14ac:dyDescent="0.15">
      <c r="A53" s="1">
        <v>43549</v>
      </c>
      <c r="B53" s="2">
        <v>2798.3616451060097</v>
      </c>
    </row>
    <row r="54" spans="1:2" x14ac:dyDescent="0.15">
      <c r="A54" s="1">
        <v>43550</v>
      </c>
      <c r="B54" s="2">
        <v>2818.4578854696329</v>
      </c>
    </row>
    <row r="55" spans="1:2" x14ac:dyDescent="0.15">
      <c r="A55" s="1">
        <v>43551</v>
      </c>
      <c r="B55" s="2">
        <v>2805.373156624692</v>
      </c>
    </row>
    <row r="56" spans="1:2" x14ac:dyDescent="0.15">
      <c r="A56" s="1">
        <v>43552</v>
      </c>
      <c r="B56" s="2">
        <v>2815.437294914158</v>
      </c>
    </row>
    <row r="57" spans="1:2" x14ac:dyDescent="0.15">
      <c r="A57" s="1">
        <v>43553</v>
      </c>
      <c r="B57" s="2">
        <v>2834.3998195751506</v>
      </c>
    </row>
    <row r="58" spans="1:2" x14ac:dyDescent="0.15">
      <c r="A58" s="1">
        <v>43556</v>
      </c>
      <c r="B58" s="2">
        <v>2867.1938893137999</v>
      </c>
    </row>
    <row r="59" spans="1:2" x14ac:dyDescent="0.15">
      <c r="A59" s="1">
        <v>43557</v>
      </c>
      <c r="B59" s="2">
        <v>2867.2364436299208</v>
      </c>
    </row>
    <row r="60" spans="1:2" x14ac:dyDescent="0.15">
      <c r="A60" s="1">
        <v>43558</v>
      </c>
      <c r="B60" s="2">
        <v>2873.3991482144502</v>
      </c>
    </row>
    <row r="61" spans="1:2" x14ac:dyDescent="0.15">
      <c r="A61" s="1">
        <v>43559</v>
      </c>
      <c r="B61" s="2">
        <v>2879.3907805172871</v>
      </c>
    </row>
    <row r="62" spans="1:2" x14ac:dyDescent="0.15">
      <c r="A62" s="1">
        <v>43560</v>
      </c>
      <c r="B62" s="2">
        <v>2892.7443971570365</v>
      </c>
    </row>
    <row r="63" spans="1:2" x14ac:dyDescent="0.15">
      <c r="A63" s="1">
        <v>43563</v>
      </c>
      <c r="B63" s="2">
        <v>2895.7705932558702</v>
      </c>
    </row>
    <row r="64" spans="1:2" x14ac:dyDescent="0.15">
      <c r="A64" s="1">
        <v>43564</v>
      </c>
      <c r="B64" s="2">
        <v>2878.2006311820792</v>
      </c>
    </row>
    <row r="65" spans="1:2" x14ac:dyDescent="0.15">
      <c r="A65" s="1">
        <v>43565</v>
      </c>
      <c r="B65" s="2">
        <v>2888.2104169608015</v>
      </c>
    </row>
    <row r="66" spans="1:2" x14ac:dyDescent="0.15">
      <c r="A66" s="1">
        <v>43566</v>
      </c>
      <c r="B66" s="2">
        <v>2888.3194535660746</v>
      </c>
    </row>
    <row r="67" spans="1:2" x14ac:dyDescent="0.15">
      <c r="A67" s="1">
        <v>43567</v>
      </c>
      <c r="B67" s="2">
        <v>2907.4143830768035</v>
      </c>
    </row>
    <row r="68" spans="1:2" x14ac:dyDescent="0.15">
      <c r="A68" s="1">
        <v>43570</v>
      </c>
      <c r="B68" s="2">
        <v>2905.5832738591421</v>
      </c>
    </row>
    <row r="69" spans="1:2" x14ac:dyDescent="0.15">
      <c r="A69" s="1">
        <v>43571</v>
      </c>
      <c r="B69" s="2">
        <v>2907.0575482500794</v>
      </c>
    </row>
    <row r="70" spans="1:2" x14ac:dyDescent="0.15">
      <c r="A70" s="1">
        <v>43572</v>
      </c>
      <c r="B70" s="2">
        <v>2900.4531359849407</v>
      </c>
    </row>
    <row r="71" spans="1:2" x14ac:dyDescent="0.15">
      <c r="A71" s="1">
        <v>43573</v>
      </c>
      <c r="B71" s="2">
        <v>2905.0325202007193</v>
      </c>
    </row>
    <row r="72" spans="1:2" x14ac:dyDescent="0.15">
      <c r="A72" s="1">
        <v>43577</v>
      </c>
      <c r="B72" s="2">
        <v>2907.9726774288615</v>
      </c>
    </row>
    <row r="73" spans="1:2" x14ac:dyDescent="0.15">
      <c r="A73" s="1">
        <v>43578</v>
      </c>
      <c r="B73" s="2">
        <v>2933.675818466224</v>
      </c>
    </row>
    <row r="74" spans="1:2" x14ac:dyDescent="0.15">
      <c r="A74" s="1">
        <v>43579</v>
      </c>
      <c r="B74" s="2">
        <v>2927.252365084114</v>
      </c>
    </row>
    <row r="75" spans="1:2" x14ac:dyDescent="0.15">
      <c r="A75" s="1">
        <v>43580</v>
      </c>
      <c r="B75" s="2">
        <v>2926.1730754066452</v>
      </c>
    </row>
    <row r="76" spans="1:2" x14ac:dyDescent="0.15">
      <c r="A76" s="1">
        <v>43581</v>
      </c>
      <c r="B76" s="2">
        <v>2939.8816692537521</v>
      </c>
    </row>
    <row r="77" spans="1:2" x14ac:dyDescent="0.15">
      <c r="A77" s="1">
        <v>43584</v>
      </c>
      <c r="B77" s="2">
        <v>2943.026919667288</v>
      </c>
    </row>
    <row r="78" spans="1:2" x14ac:dyDescent="0.15">
      <c r="A78" s="1">
        <v>43585</v>
      </c>
      <c r="B78" s="2">
        <v>2945.8308868458057</v>
      </c>
    </row>
    <row r="79" spans="1:2" x14ac:dyDescent="0.15">
      <c r="A79" s="1">
        <v>43586</v>
      </c>
      <c r="B79" s="2">
        <v>2923.7319381825055</v>
      </c>
    </row>
    <row r="80" spans="1:2" x14ac:dyDescent="0.15">
      <c r="A80" s="1">
        <v>43587</v>
      </c>
      <c r="B80" s="2">
        <v>2917.5163798788308</v>
      </c>
    </row>
    <row r="81" spans="1:2" x14ac:dyDescent="0.15">
      <c r="A81" s="1">
        <v>43588</v>
      </c>
      <c r="B81" s="2">
        <v>2945.6377901022634</v>
      </c>
    </row>
    <row r="82" spans="1:2" x14ac:dyDescent="0.15">
      <c r="A82" s="1">
        <v>43591</v>
      </c>
      <c r="B82" s="2">
        <v>2932.4738490857135</v>
      </c>
    </row>
    <row r="83" spans="1:2" x14ac:dyDescent="0.15">
      <c r="A83" s="1">
        <v>43592</v>
      </c>
      <c r="B83" s="2">
        <v>2884.0503077962385</v>
      </c>
    </row>
    <row r="84" spans="1:2" x14ac:dyDescent="0.15">
      <c r="A84" s="1">
        <v>43593</v>
      </c>
      <c r="B84" s="2">
        <v>2879.4196417361914</v>
      </c>
    </row>
    <row r="85" spans="1:2" x14ac:dyDescent="0.15">
      <c r="A85" s="1">
        <v>43594</v>
      </c>
      <c r="B85" s="2">
        <v>2870.7170957245125</v>
      </c>
    </row>
    <row r="86" spans="1:2" x14ac:dyDescent="0.15">
      <c r="A86" s="1">
        <v>43595</v>
      </c>
      <c r="B86" s="2">
        <v>2881.4005103276745</v>
      </c>
    </row>
    <row r="87" spans="1:2" x14ac:dyDescent="0.15">
      <c r="A87" s="1">
        <v>43598</v>
      </c>
      <c r="B87" s="2">
        <v>2811.8654001004779</v>
      </c>
    </row>
    <row r="88" spans="1:2" x14ac:dyDescent="0.15">
      <c r="A88" s="1">
        <v>43599</v>
      </c>
      <c r="B88" s="2">
        <v>2834.4068001572468</v>
      </c>
    </row>
    <row r="89" spans="1:2" x14ac:dyDescent="0.15">
      <c r="A89" s="1">
        <v>43600</v>
      </c>
      <c r="B89" s="2">
        <v>2850.9645340323104</v>
      </c>
    </row>
    <row r="90" spans="1:2" x14ac:dyDescent="0.15">
      <c r="A90" s="1">
        <v>43601</v>
      </c>
      <c r="B90" s="2">
        <v>2876.3169278960177</v>
      </c>
    </row>
    <row r="91" spans="1:2" x14ac:dyDescent="0.15">
      <c r="A91" s="1">
        <v>43602</v>
      </c>
      <c r="B91" s="2">
        <v>2859.5323467116914</v>
      </c>
    </row>
    <row r="92" spans="1:2" x14ac:dyDescent="0.15">
      <c r="A92" s="1">
        <v>43605</v>
      </c>
      <c r="B92" s="2">
        <v>2840.2331323810981</v>
      </c>
    </row>
    <row r="93" spans="1:2" x14ac:dyDescent="0.15">
      <c r="A93" s="1">
        <v>43606</v>
      </c>
      <c r="B93" s="2">
        <v>2864.3594093680108</v>
      </c>
    </row>
    <row r="94" spans="1:2" x14ac:dyDescent="0.15">
      <c r="A94" s="1">
        <v>43607</v>
      </c>
      <c r="B94" s="2">
        <v>2856.2741510342721</v>
      </c>
    </row>
    <row r="95" spans="1:2" x14ac:dyDescent="0.15">
      <c r="A95" s="1">
        <v>43608</v>
      </c>
      <c r="B95" s="2">
        <v>2822.2409559279745</v>
      </c>
    </row>
    <row r="96" spans="1:2" x14ac:dyDescent="0.15">
      <c r="A96" s="1">
        <v>43609</v>
      </c>
      <c r="B96" s="2">
        <v>2826.0646864961</v>
      </c>
    </row>
    <row r="97" spans="1:2" x14ac:dyDescent="0.15">
      <c r="A97" s="1">
        <v>43613</v>
      </c>
      <c r="B97" s="2">
        <v>2802.3852184126117</v>
      </c>
    </row>
    <row r="98" spans="1:2" x14ac:dyDescent="0.15">
      <c r="A98" s="1">
        <v>43614</v>
      </c>
      <c r="B98" s="2">
        <v>2783.0183224371567</v>
      </c>
    </row>
    <row r="99" spans="1:2" x14ac:dyDescent="0.15">
      <c r="A99" s="1">
        <v>43615</v>
      </c>
      <c r="B99" s="2">
        <v>2788.8649306177908</v>
      </c>
    </row>
    <row r="100" spans="1:2" x14ac:dyDescent="0.15">
      <c r="A100" s="1">
        <v>43616</v>
      </c>
      <c r="B100" s="2">
        <v>2752.0628861321829</v>
      </c>
    </row>
    <row r="101" spans="1:2" x14ac:dyDescent="0.15">
      <c r="A101" s="1">
        <v>43619</v>
      </c>
      <c r="B101" s="2">
        <v>2744.4464431785109</v>
      </c>
    </row>
    <row r="102" spans="1:2" x14ac:dyDescent="0.15">
      <c r="A102" s="1">
        <v>43620</v>
      </c>
      <c r="B102" s="2">
        <v>2803.2725358166681</v>
      </c>
    </row>
    <row r="103" spans="1:2" x14ac:dyDescent="0.15">
      <c r="A103" s="1">
        <v>43621</v>
      </c>
      <c r="B103" s="2">
        <v>2826.150599552202</v>
      </c>
    </row>
    <row r="104" spans="1:2" x14ac:dyDescent="0.15">
      <c r="A104" s="1">
        <v>43622</v>
      </c>
      <c r="B104" s="2">
        <v>2843.4903771814538</v>
      </c>
    </row>
    <row r="105" spans="1:2" x14ac:dyDescent="0.15">
      <c r="A105" s="1">
        <v>43623</v>
      </c>
      <c r="B105" s="2">
        <v>2873.3420016462501</v>
      </c>
    </row>
    <row r="106" spans="1:2" x14ac:dyDescent="0.15">
      <c r="A106" s="1">
        <v>43626</v>
      </c>
      <c r="B106" s="2">
        <v>2886.7341265343844</v>
      </c>
    </row>
    <row r="107" spans="1:2" x14ac:dyDescent="0.15">
      <c r="A107" s="1">
        <v>43627</v>
      </c>
      <c r="B107" s="2">
        <v>2885.7221462383695</v>
      </c>
    </row>
    <row r="108" spans="1:2" x14ac:dyDescent="0.15">
      <c r="A108" s="1">
        <v>43628</v>
      </c>
      <c r="B108" s="2">
        <v>2879.8364590721526</v>
      </c>
    </row>
    <row r="109" spans="1:2" x14ac:dyDescent="0.15">
      <c r="A109" s="1">
        <v>43629</v>
      </c>
      <c r="B109" s="2">
        <v>2891.6405345038365</v>
      </c>
    </row>
    <row r="110" spans="1:2" x14ac:dyDescent="0.15">
      <c r="A110" s="1">
        <v>43630</v>
      </c>
      <c r="B110" s="2">
        <v>2886.9832099801311</v>
      </c>
    </row>
    <row r="111" spans="1:2" x14ac:dyDescent="0.15">
      <c r="A111" s="1">
        <v>43633</v>
      </c>
      <c r="B111" s="2">
        <v>2889.6699778407151</v>
      </c>
    </row>
    <row r="112" spans="1:2" x14ac:dyDescent="0.15">
      <c r="A112" s="1">
        <v>43634</v>
      </c>
      <c r="B112" s="2">
        <v>2917.7507616530788</v>
      </c>
    </row>
    <row r="113" spans="1:2" x14ac:dyDescent="0.15">
      <c r="A113" s="1">
        <v>43635</v>
      </c>
      <c r="B113" s="2">
        <v>2926.4558150439875</v>
      </c>
    </row>
    <row r="114" spans="1:2" x14ac:dyDescent="0.15">
      <c r="A114" s="1">
        <v>43636</v>
      </c>
      <c r="B114" s="2">
        <v>2954.1818728841436</v>
      </c>
    </row>
    <row r="115" spans="1:2" x14ac:dyDescent="0.15">
      <c r="A115" s="1">
        <v>43637</v>
      </c>
      <c r="B115" s="2">
        <v>2950.455013210636</v>
      </c>
    </row>
    <row r="116" spans="1:2" x14ac:dyDescent="0.15">
      <c r="A116" s="1">
        <v>43640</v>
      </c>
      <c r="B116" s="2">
        <v>2945.3487961538822</v>
      </c>
    </row>
    <row r="117" spans="1:2" x14ac:dyDescent="0.15">
      <c r="A117" s="1">
        <v>43641</v>
      </c>
      <c r="B117" s="2">
        <v>2917.3831404343919</v>
      </c>
    </row>
    <row r="118" spans="1:2" x14ac:dyDescent="0.15">
      <c r="A118" s="1">
        <v>43642</v>
      </c>
      <c r="B118" s="2">
        <v>2913.7787781963061</v>
      </c>
    </row>
    <row r="119" spans="1:2" x14ac:dyDescent="0.15">
      <c r="A119" s="1">
        <v>43643</v>
      </c>
      <c r="B119" s="2">
        <v>2924.9212016279544</v>
      </c>
    </row>
    <row r="120" spans="1:2" x14ac:dyDescent="0.15">
      <c r="A120" s="1">
        <v>43644</v>
      </c>
      <c r="B120" s="2">
        <v>2941.7606374579345</v>
      </c>
    </row>
    <row r="121" spans="1:2" x14ac:dyDescent="0.15">
      <c r="A121" s="1">
        <v>43647</v>
      </c>
      <c r="B121" s="2">
        <v>2964.33284246836</v>
      </c>
    </row>
    <row r="122" spans="1:2" x14ac:dyDescent="0.15">
      <c r="A122" s="1">
        <v>43648</v>
      </c>
      <c r="B122" s="2">
        <v>2973.011927566301</v>
      </c>
    </row>
    <row r="123" spans="1:2" x14ac:dyDescent="0.15">
      <c r="A123" s="1">
        <v>43649</v>
      </c>
      <c r="B123" s="2">
        <v>2995.8225920371956</v>
      </c>
    </row>
    <row r="124" spans="1:2" x14ac:dyDescent="0.15">
      <c r="A124" s="1">
        <v>43651</v>
      </c>
      <c r="B124" s="2">
        <v>2990.4095826285779</v>
      </c>
    </row>
    <row r="125" spans="1:2" x14ac:dyDescent="0.15">
      <c r="A125" s="1">
        <v>43654</v>
      </c>
      <c r="B125" s="2">
        <v>2975.9455012433718</v>
      </c>
    </row>
    <row r="126" spans="1:2" x14ac:dyDescent="0.15">
      <c r="A126" s="1">
        <v>43655</v>
      </c>
      <c r="B126" s="2">
        <v>2979.6258058689832</v>
      </c>
    </row>
    <row r="127" spans="1:2" x14ac:dyDescent="0.15">
      <c r="A127" s="1">
        <v>43656</v>
      </c>
      <c r="B127" s="2">
        <v>2993.0699580184587</v>
      </c>
    </row>
    <row r="128" spans="1:2" x14ac:dyDescent="0.15">
      <c r="A128" s="1">
        <v>43657</v>
      </c>
      <c r="B128" s="2">
        <v>2999.90694729709</v>
      </c>
    </row>
    <row r="129" spans="1:2" x14ac:dyDescent="0.15">
      <c r="A129" s="1">
        <v>43658</v>
      </c>
      <c r="B129" s="2">
        <v>3013.7726490768137</v>
      </c>
    </row>
    <row r="130" spans="1:2" x14ac:dyDescent="0.15">
      <c r="A130" s="1">
        <v>43661</v>
      </c>
      <c r="B130" s="2">
        <v>3014.2978852130268</v>
      </c>
    </row>
    <row r="131" spans="1:2" x14ac:dyDescent="0.15">
      <c r="A131" s="1">
        <v>43662</v>
      </c>
      <c r="B131" s="2">
        <v>3004.0431039320347</v>
      </c>
    </row>
    <row r="132" spans="1:2" x14ac:dyDescent="0.15">
      <c r="A132" s="1">
        <v>43663</v>
      </c>
      <c r="B132" s="2">
        <v>2984.4234710898791</v>
      </c>
    </row>
    <row r="133" spans="1:2" x14ac:dyDescent="0.15">
      <c r="A133" s="1">
        <v>43664</v>
      </c>
      <c r="B133" s="2">
        <v>2995.1124645295586</v>
      </c>
    </row>
    <row r="134" spans="1:2" x14ac:dyDescent="0.15">
      <c r="A134" s="1">
        <v>43665</v>
      </c>
      <c r="B134" s="2">
        <v>2976.6090569872754</v>
      </c>
    </row>
    <row r="135" spans="1:2" x14ac:dyDescent="0.15">
      <c r="A135" s="1">
        <v>43668</v>
      </c>
      <c r="B135" s="2">
        <v>2985.0311553162123</v>
      </c>
    </row>
    <row r="136" spans="1:2" x14ac:dyDescent="0.15">
      <c r="A136" s="1">
        <v>43669</v>
      </c>
      <c r="B136" s="2">
        <v>3005.4734873057182</v>
      </c>
    </row>
    <row r="137" spans="1:2" x14ac:dyDescent="0.15">
      <c r="A137" s="1">
        <v>43670</v>
      </c>
      <c r="B137" s="2">
        <v>3019.5565604111998</v>
      </c>
    </row>
    <row r="138" spans="1:2" x14ac:dyDescent="0.15">
      <c r="A138" s="1">
        <v>43671</v>
      </c>
      <c r="B138" s="2">
        <v>3003.6712511099136</v>
      </c>
    </row>
    <row r="139" spans="1:2" x14ac:dyDescent="0.15">
      <c r="A139" s="1">
        <v>43672</v>
      </c>
      <c r="B139" s="2">
        <v>3025.8591481188296</v>
      </c>
    </row>
    <row r="140" spans="1:2" x14ac:dyDescent="0.15">
      <c r="A140" s="1">
        <v>43675</v>
      </c>
      <c r="B140" s="2">
        <v>3020.9681229405687</v>
      </c>
    </row>
    <row r="141" spans="1:2" x14ac:dyDescent="0.15">
      <c r="A141" s="1">
        <v>43676</v>
      </c>
      <c r="B141" s="2">
        <v>3013.1818626619583</v>
      </c>
    </row>
    <row r="142" spans="1:2" x14ac:dyDescent="0.15">
      <c r="A142" s="1">
        <v>43677</v>
      </c>
      <c r="B142" s="2">
        <v>2980.3788544642703</v>
      </c>
    </row>
    <row r="143" spans="1:2" x14ac:dyDescent="0.15">
      <c r="A143" s="1">
        <v>43678</v>
      </c>
      <c r="B143" s="2">
        <v>2953.560123626331</v>
      </c>
    </row>
    <row r="144" spans="1:2" x14ac:dyDescent="0.15">
      <c r="A144" s="1">
        <v>43679</v>
      </c>
      <c r="B144" s="2">
        <v>2932.0452074070449</v>
      </c>
    </row>
    <row r="145" spans="1:2" x14ac:dyDescent="0.15">
      <c r="A145" s="1">
        <v>43682</v>
      </c>
      <c r="B145" s="2">
        <v>2844.7427082969057</v>
      </c>
    </row>
    <row r="146" spans="1:2" x14ac:dyDescent="0.15">
      <c r="A146" s="1">
        <v>43683</v>
      </c>
      <c r="B146" s="2">
        <v>2881.7740741992161</v>
      </c>
    </row>
    <row r="147" spans="1:2" x14ac:dyDescent="0.15">
      <c r="A147" s="1">
        <v>43684</v>
      </c>
      <c r="B147" s="2">
        <v>2883.9844170452166</v>
      </c>
    </row>
    <row r="148" spans="1:2" x14ac:dyDescent="0.15">
      <c r="A148" s="1">
        <v>43685</v>
      </c>
      <c r="B148" s="2">
        <v>2938.0945262595137</v>
      </c>
    </row>
    <row r="149" spans="1:2" x14ac:dyDescent="0.15">
      <c r="A149" s="1">
        <v>43686</v>
      </c>
      <c r="B149" s="2">
        <v>2918.6456020570922</v>
      </c>
    </row>
    <row r="150" spans="1:2" x14ac:dyDescent="0.15">
      <c r="A150" s="1">
        <v>43689</v>
      </c>
      <c r="B150" s="2">
        <v>2883.75</v>
      </c>
    </row>
    <row r="151" spans="1:2" x14ac:dyDescent="0.15">
      <c r="A151" s="1">
        <v>43690</v>
      </c>
      <c r="B151" s="2">
        <v>2926.3247709496181</v>
      </c>
    </row>
    <row r="152" spans="1:2" x14ac:dyDescent="0.15">
      <c r="A152" s="1">
        <v>43691</v>
      </c>
      <c r="B152" s="2">
        <v>2840.5982828209867</v>
      </c>
    </row>
    <row r="153" spans="1:2" x14ac:dyDescent="0.15">
      <c r="A153" s="1">
        <v>43692</v>
      </c>
      <c r="B153" s="2">
        <v>2847.5950637401747</v>
      </c>
    </row>
    <row r="154" spans="1:2" x14ac:dyDescent="0.15">
      <c r="A154" s="1">
        <v>43693</v>
      </c>
      <c r="B154" s="2">
        <v>2888.677981429888</v>
      </c>
    </row>
    <row r="155" spans="1:2" x14ac:dyDescent="0.15">
      <c r="A155" s="1">
        <v>43696</v>
      </c>
      <c r="B155" s="2">
        <v>2923.648225930589</v>
      </c>
    </row>
    <row r="156" spans="1:2" x14ac:dyDescent="0.15">
      <c r="A156" s="1">
        <v>43697</v>
      </c>
      <c r="B156" s="2">
        <v>2900.5102677585041</v>
      </c>
    </row>
    <row r="157" spans="1:2" x14ac:dyDescent="0.15">
      <c r="A157" s="1">
        <v>43698</v>
      </c>
      <c r="B157" s="2">
        <v>2924.4303174900924</v>
      </c>
    </row>
    <row r="158" spans="1:2" x14ac:dyDescent="0.15">
      <c r="A158" s="1">
        <v>43699</v>
      </c>
      <c r="B158" s="2">
        <v>2922.9523576930023</v>
      </c>
    </row>
    <row r="159" spans="1:2" x14ac:dyDescent="0.15">
      <c r="A159" s="1">
        <v>43700</v>
      </c>
      <c r="B159" s="2">
        <v>2847.1109835578504</v>
      </c>
    </row>
    <row r="160" spans="1:2" x14ac:dyDescent="0.15">
      <c r="A160" s="1">
        <v>43703</v>
      </c>
      <c r="B160" s="2">
        <v>2878.3838848430109</v>
      </c>
    </row>
    <row r="161" spans="1:2" x14ac:dyDescent="0.15">
      <c r="A161" s="1">
        <v>43704</v>
      </c>
      <c r="B161" s="2">
        <v>2869.1561113139273</v>
      </c>
    </row>
    <row r="162" spans="1:2" x14ac:dyDescent="0.15">
      <c r="A162" s="1">
        <v>43705</v>
      </c>
      <c r="B162" s="2">
        <v>2887.9387900043421</v>
      </c>
    </row>
    <row r="163" spans="1:2" x14ac:dyDescent="0.15">
      <c r="A163" s="1">
        <v>43706</v>
      </c>
      <c r="B163" s="2">
        <v>2924.5770989022708</v>
      </c>
    </row>
    <row r="164" spans="1:2" x14ac:dyDescent="0.15">
      <c r="A164" s="1">
        <v>43707</v>
      </c>
      <c r="B164" s="2">
        <v>2926.4581286088824</v>
      </c>
    </row>
    <row r="165" spans="1:2" x14ac:dyDescent="0.15">
      <c r="A165" s="1">
        <v>43711</v>
      </c>
      <c r="B165" s="2">
        <v>2906.2711064674472</v>
      </c>
    </row>
    <row r="166" spans="1:2" x14ac:dyDescent="0.15">
      <c r="A166" s="1">
        <v>43712</v>
      </c>
      <c r="B166" s="2">
        <v>2937.7790248924434</v>
      </c>
    </row>
    <row r="167" spans="1:2" x14ac:dyDescent="0.15">
      <c r="A167" s="1">
        <v>43713</v>
      </c>
      <c r="B167" s="2">
        <v>2975.99744554974</v>
      </c>
    </row>
    <row r="168" spans="1:2" x14ac:dyDescent="0.15">
      <c r="A168" s="1">
        <v>43714</v>
      </c>
      <c r="B168" s="2">
        <v>2978.7078106171421</v>
      </c>
    </row>
    <row r="169" spans="1:2" x14ac:dyDescent="0.15">
      <c r="A169" s="1">
        <v>43717</v>
      </c>
      <c r="B169" s="2">
        <v>2978.4337960358221</v>
      </c>
    </row>
    <row r="170" spans="1:2" x14ac:dyDescent="0.15">
      <c r="A170" s="1">
        <v>43718</v>
      </c>
      <c r="B170" s="2">
        <v>2979.3855462978045</v>
      </c>
    </row>
    <row r="171" spans="1:2" x14ac:dyDescent="0.15">
      <c r="A171" s="1">
        <v>43719</v>
      </c>
      <c r="B171" s="2">
        <v>3000.926355136351</v>
      </c>
    </row>
    <row r="172" spans="1:2" x14ac:dyDescent="0.15">
      <c r="A172" s="1">
        <v>43720</v>
      </c>
      <c r="B172" s="2">
        <v>3009.5718752192215</v>
      </c>
    </row>
    <row r="173" spans="1:2" x14ac:dyDescent="0.15">
      <c r="A173" s="1">
        <v>43721</v>
      </c>
      <c r="B173" s="2">
        <v>3007.3873736277542</v>
      </c>
    </row>
    <row r="174" spans="1:2" x14ac:dyDescent="0.15">
      <c r="A174" s="1">
        <v>43724</v>
      </c>
      <c r="B174" s="2">
        <v>2997.9595912212417</v>
      </c>
    </row>
    <row r="175" spans="1:2" x14ac:dyDescent="0.15">
      <c r="A175" s="1">
        <v>43725</v>
      </c>
      <c r="B175" s="2">
        <v>3005.6964617529316</v>
      </c>
    </row>
    <row r="176" spans="1:2" x14ac:dyDescent="0.15">
      <c r="A176" s="1">
        <v>43726</v>
      </c>
      <c r="B176" s="2">
        <v>3006.729985500393</v>
      </c>
    </row>
    <row r="177" spans="1:2" x14ac:dyDescent="0.15">
      <c r="A177" s="1">
        <v>43727</v>
      </c>
      <c r="B177" s="2">
        <v>3006.790781830704</v>
      </c>
    </row>
    <row r="178" spans="1:2" x14ac:dyDescent="0.15">
      <c r="A178" s="1">
        <v>43728</v>
      </c>
      <c r="B178" s="2">
        <v>2992.0722935071785</v>
      </c>
    </row>
    <row r="179" spans="1:2" x14ac:dyDescent="0.15">
      <c r="A179" s="1">
        <v>43731</v>
      </c>
      <c r="B179" s="2">
        <v>2991.7790334705755</v>
      </c>
    </row>
    <row r="180" spans="1:2" x14ac:dyDescent="0.15">
      <c r="A180" s="1">
        <v>43732</v>
      </c>
      <c r="B180" s="2">
        <v>2966.5960039121405</v>
      </c>
    </row>
    <row r="181" spans="1:2" x14ac:dyDescent="0.15">
      <c r="A181" s="1">
        <v>43733</v>
      </c>
      <c r="B181" s="2">
        <v>2984.8683331356365</v>
      </c>
    </row>
    <row r="182" spans="1:2" x14ac:dyDescent="0.15">
      <c r="A182" s="1">
        <v>43734</v>
      </c>
      <c r="B182" s="2">
        <v>2977.6174364771396</v>
      </c>
    </row>
    <row r="183" spans="1:2" x14ac:dyDescent="0.15">
      <c r="A183" s="1">
        <v>43735</v>
      </c>
      <c r="B183" s="2">
        <v>2961.7931162999603</v>
      </c>
    </row>
    <row r="184" spans="1:2" x14ac:dyDescent="0.15">
      <c r="A184" s="1">
        <v>43738</v>
      </c>
      <c r="B184" s="2">
        <v>2976.7372717443327</v>
      </c>
    </row>
    <row r="185" spans="1:2" x14ac:dyDescent="0.15">
      <c r="A185" s="1">
        <v>43739</v>
      </c>
      <c r="B185" s="2">
        <v>2940.2485884777147</v>
      </c>
    </row>
    <row r="186" spans="1:2" x14ac:dyDescent="0.15">
      <c r="A186" s="1">
        <v>43740</v>
      </c>
      <c r="B186" s="2">
        <v>2887.606504162995</v>
      </c>
    </row>
    <row r="187" spans="1:2" x14ac:dyDescent="0.15">
      <c r="A187" s="1">
        <v>43741</v>
      </c>
      <c r="B187" s="2">
        <v>2910.6340405401388</v>
      </c>
    </row>
    <row r="188" spans="1:2" x14ac:dyDescent="0.15">
      <c r="A188" s="1">
        <v>43742</v>
      </c>
      <c r="B188" s="2">
        <v>2952.0075644403978</v>
      </c>
    </row>
    <row r="189" spans="1:2" x14ac:dyDescent="0.15">
      <c r="A189" s="1">
        <v>43745</v>
      </c>
      <c r="B189" s="2">
        <v>2938.7893931237022</v>
      </c>
    </row>
    <row r="190" spans="1:2" x14ac:dyDescent="0.15">
      <c r="A190" s="1">
        <v>43746</v>
      </c>
      <c r="B190" s="2">
        <v>2893.0555807820838</v>
      </c>
    </row>
    <row r="191" spans="1:2" x14ac:dyDescent="0.15">
      <c r="A191" s="1">
        <v>43747</v>
      </c>
      <c r="B191" s="2">
        <v>2919.4000974809646</v>
      </c>
    </row>
    <row r="192" spans="1:2" x14ac:dyDescent="0.15">
      <c r="A192" s="1">
        <v>43748</v>
      </c>
      <c r="B192" s="2">
        <v>2938.1323548147861</v>
      </c>
    </row>
    <row r="193" spans="1:2" x14ac:dyDescent="0.15">
      <c r="A193" s="1">
        <v>43749</v>
      </c>
      <c r="B193" s="2">
        <v>2970.2695448855425</v>
      </c>
    </row>
    <row r="194" spans="1:2" x14ac:dyDescent="0.15">
      <c r="A194" s="1">
        <v>43752</v>
      </c>
      <c r="B194" s="2">
        <v>2966.1504555803626</v>
      </c>
    </row>
    <row r="195" spans="1:2" x14ac:dyDescent="0.15">
      <c r="A195" s="1">
        <v>43753</v>
      </c>
      <c r="B195" s="2">
        <v>2995.6831330241921</v>
      </c>
    </row>
    <row r="196" spans="1:2" x14ac:dyDescent="0.15">
      <c r="A196" s="1">
        <v>43754</v>
      </c>
      <c r="B196" s="2">
        <v>2989.693781043632</v>
      </c>
    </row>
    <row r="197" spans="1:2" x14ac:dyDescent="0.15">
      <c r="A197" s="1">
        <v>43755</v>
      </c>
      <c r="B197" s="2">
        <v>2997.9528862060724</v>
      </c>
    </row>
    <row r="198" spans="1:2" x14ac:dyDescent="0.15">
      <c r="A198" s="1">
        <v>43756</v>
      </c>
      <c r="B198" s="2">
        <v>2986.2034836123844</v>
      </c>
    </row>
    <row r="199" spans="1:2" x14ac:dyDescent="0.15">
      <c r="A199" s="1">
        <v>43759</v>
      </c>
      <c r="B199" s="2">
        <v>3006.7242822969392</v>
      </c>
    </row>
    <row r="200" spans="1:2" x14ac:dyDescent="0.15">
      <c r="A200" s="1">
        <v>43760</v>
      </c>
      <c r="B200" s="2">
        <v>2995.9929636091292</v>
      </c>
    </row>
    <row r="201" spans="1:2" x14ac:dyDescent="0.15">
      <c r="A201" s="1">
        <v>43761</v>
      </c>
      <c r="B201" s="2">
        <v>3004.524330502762</v>
      </c>
    </row>
    <row r="202" spans="1:2" x14ac:dyDescent="0.15">
      <c r="A202" s="1">
        <v>43762</v>
      </c>
      <c r="B202" s="2">
        <v>3010.2853025981613</v>
      </c>
    </row>
    <row r="203" spans="1:2" x14ac:dyDescent="0.15">
      <c r="A203" s="1">
        <v>43763</v>
      </c>
      <c r="B203" s="2">
        <v>3022.549643690118</v>
      </c>
    </row>
    <row r="204" spans="1:2" x14ac:dyDescent="0.15">
      <c r="A204" s="1">
        <v>43766</v>
      </c>
      <c r="B204" s="2">
        <v>3039.4199220226506</v>
      </c>
    </row>
    <row r="205" spans="1:2" x14ac:dyDescent="0.15">
      <c r="A205" s="1">
        <v>43767</v>
      </c>
      <c r="B205" s="2">
        <v>3036.8922475774289</v>
      </c>
    </row>
    <row r="206" spans="1:2" x14ac:dyDescent="0.15">
      <c r="A206" s="1">
        <v>43768</v>
      </c>
      <c r="B206" s="2">
        <v>3046.7662003716096</v>
      </c>
    </row>
    <row r="207" spans="1:2" x14ac:dyDescent="0.15">
      <c r="A207" s="1">
        <v>43769</v>
      </c>
      <c r="B207" s="2">
        <v>3037.5644352599625</v>
      </c>
    </row>
    <row r="208" spans="1:2" x14ac:dyDescent="0.15">
      <c r="A208" s="1">
        <v>43770</v>
      </c>
      <c r="B208" s="2">
        <v>3066.914735031588</v>
      </c>
    </row>
    <row r="209" spans="1:2" x14ac:dyDescent="0.15">
      <c r="A209" s="1">
        <v>43773</v>
      </c>
      <c r="B209" s="2">
        <v>3078.2697296470428</v>
      </c>
    </row>
    <row r="210" spans="1:2" x14ac:dyDescent="0.15">
      <c r="A210" s="1">
        <v>43774</v>
      </c>
      <c r="B210" s="2">
        <v>3074.6159174574223</v>
      </c>
    </row>
    <row r="211" spans="1:2" x14ac:dyDescent="0.15">
      <c r="A211" s="1">
        <v>43775</v>
      </c>
      <c r="B211" s="2">
        <v>3076.7753427904145</v>
      </c>
    </row>
    <row r="212" spans="1:2" x14ac:dyDescent="0.15">
      <c r="A212" s="1">
        <v>43776</v>
      </c>
      <c r="B212" s="2">
        <v>3085.1818609346037</v>
      </c>
    </row>
    <row r="213" spans="1:2" x14ac:dyDescent="0.15">
      <c r="A213" s="1">
        <v>43777</v>
      </c>
      <c r="B213" s="2">
        <v>3093.0848032675412</v>
      </c>
    </row>
    <row r="214" spans="1:2" x14ac:dyDescent="0.15">
      <c r="A214" s="1">
        <v>43780</v>
      </c>
      <c r="B214" s="2">
        <v>3087.0050177695357</v>
      </c>
    </row>
    <row r="215" spans="1:2" x14ac:dyDescent="0.15">
      <c r="A215" s="1">
        <v>43781</v>
      </c>
      <c r="B215" s="2">
        <v>3091.839016023886</v>
      </c>
    </row>
    <row r="216" spans="1:2" x14ac:dyDescent="0.15">
      <c r="A216" s="1">
        <v>43782</v>
      </c>
      <c r="B216" s="2">
        <v>3094.0353401605175</v>
      </c>
    </row>
    <row r="217" spans="1:2" x14ac:dyDescent="0.15">
      <c r="A217" s="1">
        <v>43783</v>
      </c>
      <c r="B217" s="2">
        <v>3096.6331268924378</v>
      </c>
    </row>
    <row r="218" spans="1:2" x14ac:dyDescent="0.15">
      <c r="A218" s="1">
        <v>43784</v>
      </c>
      <c r="B218" s="2">
        <v>3120.4604032335037</v>
      </c>
    </row>
    <row r="219" spans="1:2" x14ac:dyDescent="0.15">
      <c r="A219" s="1">
        <v>43787</v>
      </c>
      <c r="B219" s="2">
        <v>3122.028006676167</v>
      </c>
    </row>
    <row r="220" spans="1:2" x14ac:dyDescent="0.15">
      <c r="A220" s="1">
        <v>43788</v>
      </c>
      <c r="B220" s="2">
        <v>3120.1812842673753</v>
      </c>
    </row>
    <row r="221" spans="1:2" x14ac:dyDescent="0.15">
      <c r="A221" s="1">
        <v>43789</v>
      </c>
      <c r="B221" s="2">
        <v>3108.4581501789567</v>
      </c>
    </row>
    <row r="222" spans="1:2" x14ac:dyDescent="0.15">
      <c r="A222" s="1">
        <v>43790</v>
      </c>
      <c r="B222" s="2">
        <v>3103.5369124181698</v>
      </c>
    </row>
    <row r="223" spans="1:2" x14ac:dyDescent="0.15">
      <c r="A223" s="1">
        <v>43791</v>
      </c>
      <c r="B223" s="2">
        <v>3110.2883488152388</v>
      </c>
    </row>
    <row r="224" spans="1:2" x14ac:dyDescent="0.15">
      <c r="A224" s="1">
        <v>43794</v>
      </c>
      <c r="B224" s="2">
        <v>3133.6428229301277</v>
      </c>
    </row>
    <row r="225" spans="1:2" x14ac:dyDescent="0.15">
      <c r="A225" s="1">
        <v>43795</v>
      </c>
      <c r="B225" s="2">
        <v>3140.5198640129411</v>
      </c>
    </row>
    <row r="226" spans="1:2" x14ac:dyDescent="0.15">
      <c r="A226" s="1">
        <v>43796</v>
      </c>
      <c r="B226" s="2">
        <v>3153.6280711461113</v>
      </c>
    </row>
    <row r="227" spans="1:2" x14ac:dyDescent="0.15">
      <c r="A227" s="1">
        <v>43798</v>
      </c>
      <c r="B227" s="2">
        <v>3140.9806277025359</v>
      </c>
    </row>
    <row r="228" spans="1:2" x14ac:dyDescent="0.15">
      <c r="A228" s="1">
        <v>43801</v>
      </c>
      <c r="B228" s="2">
        <v>3113.8736307849322</v>
      </c>
    </row>
    <row r="229" spans="1:2" x14ac:dyDescent="0.15">
      <c r="A229" s="1">
        <v>43802</v>
      </c>
      <c r="B229" s="2">
        <v>3093.2009127132724</v>
      </c>
    </row>
    <row r="230" spans="1:2" x14ac:dyDescent="0.15">
      <c r="A230" s="1">
        <v>43803</v>
      </c>
      <c r="B230" s="2">
        <v>3112.7563453632383</v>
      </c>
    </row>
    <row r="231" spans="1:2" x14ac:dyDescent="0.15">
      <c r="A231" s="1">
        <v>43804</v>
      </c>
      <c r="B231" s="2">
        <v>3117.4285883067314</v>
      </c>
    </row>
    <row r="232" spans="1:2" x14ac:dyDescent="0.15">
      <c r="A232" s="1">
        <v>43805</v>
      </c>
      <c r="B232" s="2">
        <v>3145.9110261640335</v>
      </c>
    </row>
    <row r="233" spans="1:2" x14ac:dyDescent="0.15">
      <c r="A233" s="1">
        <v>43808</v>
      </c>
      <c r="B233" s="2">
        <v>3135.9613835822133</v>
      </c>
    </row>
    <row r="234" spans="1:2" x14ac:dyDescent="0.15">
      <c r="A234" s="1">
        <v>43809</v>
      </c>
      <c r="B234" s="2">
        <v>3132.5186065152216</v>
      </c>
    </row>
    <row r="235" spans="1:2" x14ac:dyDescent="0.15">
      <c r="A235" s="1">
        <v>43810</v>
      </c>
      <c r="B235" s="2">
        <v>3141.6266769632507</v>
      </c>
    </row>
    <row r="236" spans="1:2" x14ac:dyDescent="0.15">
      <c r="A236" s="1">
        <v>43811</v>
      </c>
      <c r="B236" s="2">
        <v>3168.5691707344458</v>
      </c>
    </row>
    <row r="237" spans="1:2" x14ac:dyDescent="0.15">
      <c r="A237" s="1">
        <v>43812</v>
      </c>
      <c r="B237" s="2">
        <v>3168.7996331577629</v>
      </c>
    </row>
    <row r="238" spans="1:2" x14ac:dyDescent="0.15">
      <c r="A238" s="1">
        <v>43815</v>
      </c>
      <c r="B238" s="2">
        <v>3191.4490189645671</v>
      </c>
    </row>
    <row r="239" spans="1:2" x14ac:dyDescent="0.15">
      <c r="A239" s="1">
        <v>43816</v>
      </c>
      <c r="B239" s="2">
        <v>3192.5185799434958</v>
      </c>
    </row>
    <row r="240" spans="1:2" x14ac:dyDescent="0.15">
      <c r="A240" s="1">
        <v>43817</v>
      </c>
      <c r="B240" s="2">
        <v>3191.1420439248</v>
      </c>
    </row>
    <row r="241" spans="1:2" x14ac:dyDescent="0.15">
      <c r="A241" s="1">
        <v>43818</v>
      </c>
      <c r="B241" s="2">
        <v>3205.3683778174791</v>
      </c>
    </row>
    <row r="242" spans="1:2" x14ac:dyDescent="0.15">
      <c r="A242" s="1">
        <v>43819</v>
      </c>
      <c r="B242" s="2">
        <v>3221.2245831094338</v>
      </c>
    </row>
    <row r="243" spans="1:2" x14ac:dyDescent="0.15">
      <c r="A243" s="1">
        <v>43822</v>
      </c>
      <c r="B243" s="2">
        <v>3224.0098859051418</v>
      </c>
    </row>
    <row r="244" spans="1:2" x14ac:dyDescent="0.15">
      <c r="A244" s="1">
        <v>43823</v>
      </c>
      <c r="B244" s="2">
        <v>3223.3757001893691</v>
      </c>
    </row>
    <row r="245" spans="1:2" x14ac:dyDescent="0.15">
      <c r="A245" s="1">
        <v>43825</v>
      </c>
      <c r="B245" s="2">
        <v>3239.9071377461237</v>
      </c>
    </row>
    <row r="246" spans="1:2" x14ac:dyDescent="0.15">
      <c r="A246" s="1">
        <v>43826</v>
      </c>
      <c r="B246" s="2">
        <v>3240.0203584226101</v>
      </c>
    </row>
    <row r="247" spans="1:2" x14ac:dyDescent="0.15">
      <c r="A247" s="1">
        <v>43829</v>
      </c>
      <c r="B247" s="2">
        <v>3221.2918082338774</v>
      </c>
    </row>
    <row r="248" spans="1:2" x14ac:dyDescent="0.15">
      <c r="A248" s="1">
        <v>43830</v>
      </c>
      <c r="B248" s="2">
        <v>3230.7819500904302</v>
      </c>
    </row>
    <row r="249" spans="1:2" x14ac:dyDescent="0.15">
      <c r="A249" s="1">
        <v>43832</v>
      </c>
      <c r="B249" s="2">
        <v>3257.8477866115977</v>
      </c>
    </row>
    <row r="250" spans="1:2" x14ac:dyDescent="0.15">
      <c r="A250" s="1">
        <v>43833</v>
      </c>
      <c r="B250" s="2">
        <v>3234.848563238078</v>
      </c>
    </row>
    <row r="251" spans="1:2" x14ac:dyDescent="0.15">
      <c r="A251" s="1">
        <v>43836</v>
      </c>
      <c r="B251" s="2">
        <v>3246.28255667863</v>
      </c>
    </row>
    <row r="252" spans="1:2" x14ac:dyDescent="0.15">
      <c r="A252" s="1">
        <v>43837</v>
      </c>
      <c r="B252" s="2">
        <v>3237.1824519689726</v>
      </c>
    </row>
    <row r="253" spans="1:2" x14ac:dyDescent="0.15">
      <c r="A253" s="1">
        <v>43838</v>
      </c>
      <c r="B253" s="2">
        <v>3253.0459435601724</v>
      </c>
    </row>
    <row r="254" spans="1:2" x14ac:dyDescent="0.15">
      <c r="A254" s="1">
        <v>43839</v>
      </c>
      <c r="B254" s="2">
        <v>3274.7041934341169</v>
      </c>
    </row>
    <row r="255" spans="1:2" x14ac:dyDescent="0.15">
      <c r="A255" s="1">
        <v>43840</v>
      </c>
      <c r="B255" s="2">
        <v>3265.3511353379699</v>
      </c>
    </row>
    <row r="256" spans="1:2" x14ac:dyDescent="0.15">
      <c r="A256" s="1">
        <v>43843</v>
      </c>
      <c r="B256" s="2">
        <v>3288.1335398178521</v>
      </c>
    </row>
    <row r="257" spans="1:2" x14ac:dyDescent="0.15">
      <c r="A257" s="1">
        <v>43844</v>
      </c>
      <c r="B257" s="2">
        <v>3283.1524483937824</v>
      </c>
    </row>
    <row r="258" spans="1:2" x14ac:dyDescent="0.15">
      <c r="A258" s="1">
        <v>43845</v>
      </c>
      <c r="B258" s="2">
        <v>3289.2925874927155</v>
      </c>
    </row>
    <row r="259" spans="1:2" x14ac:dyDescent="0.15">
      <c r="A259" s="1">
        <v>43846</v>
      </c>
      <c r="B259" s="2">
        <v>3316.8058915649876</v>
      </c>
    </row>
    <row r="260" spans="1:2" x14ac:dyDescent="0.15">
      <c r="A260" s="1">
        <v>43847</v>
      </c>
      <c r="B260" s="2">
        <v>3329.6226582021523</v>
      </c>
    </row>
    <row r="261" spans="1:2" x14ac:dyDescent="0.15">
      <c r="A261" s="1">
        <v>43851</v>
      </c>
      <c r="B261" s="2">
        <v>3320.7908480590531</v>
      </c>
    </row>
    <row r="262" spans="1:2" x14ac:dyDescent="0.15">
      <c r="A262" s="1">
        <v>43852</v>
      </c>
      <c r="B262" s="2">
        <v>3321.7468532716007</v>
      </c>
    </row>
    <row r="263" spans="1:2" x14ac:dyDescent="0.15">
      <c r="A263" s="1">
        <v>43853</v>
      </c>
      <c r="B263" s="2">
        <v>3325.5427890205528</v>
      </c>
    </row>
    <row r="264" spans="1:2" x14ac:dyDescent="0.15">
      <c r="A264" s="1">
        <v>43854</v>
      </c>
      <c r="B264" s="2">
        <v>3295.4734493136125</v>
      </c>
    </row>
    <row r="265" spans="1:2" x14ac:dyDescent="0.15">
      <c r="A265" s="1">
        <v>43857</v>
      </c>
      <c r="B265" s="2">
        <v>3243.6282038311633</v>
      </c>
    </row>
    <row r="266" spans="1:2" x14ac:dyDescent="0.15">
      <c r="A266" s="1">
        <v>43858</v>
      </c>
      <c r="B266" s="2">
        <v>3276.2434398222117</v>
      </c>
    </row>
    <row r="267" spans="1:2" x14ac:dyDescent="0.15">
      <c r="A267" s="1">
        <v>43859</v>
      </c>
      <c r="B267" s="2">
        <v>3273.4026027104387</v>
      </c>
    </row>
    <row r="268" spans="1:2" x14ac:dyDescent="0.15">
      <c r="A268" s="1">
        <v>43860</v>
      </c>
      <c r="B268" s="2">
        <v>3283.6590434890768</v>
      </c>
    </row>
    <row r="269" spans="1:2" x14ac:dyDescent="0.15">
      <c r="A269" s="1">
        <v>43861</v>
      </c>
      <c r="B269" s="2">
        <v>3225.5163164640862</v>
      </c>
    </row>
    <row r="270" spans="1:2" x14ac:dyDescent="0.15">
      <c r="A270" s="1">
        <v>43864</v>
      </c>
      <c r="B270" s="2">
        <v>3248.924997360969</v>
      </c>
    </row>
    <row r="271" spans="1:2" x14ac:dyDescent="0.15">
      <c r="A271" s="1">
        <v>43865</v>
      </c>
      <c r="B271" s="2">
        <v>3297.5882162895978</v>
      </c>
    </row>
    <row r="272" spans="1:2" x14ac:dyDescent="0.15">
      <c r="A272" s="1">
        <v>43866</v>
      </c>
      <c r="B272" s="2">
        <v>3334.6942869918003</v>
      </c>
    </row>
    <row r="273" spans="1:2" x14ac:dyDescent="0.15">
      <c r="A273" s="1">
        <v>43867</v>
      </c>
      <c r="B273" s="2">
        <v>3345.7808623719498</v>
      </c>
    </row>
    <row r="274" spans="1:2" x14ac:dyDescent="0.15">
      <c r="A274" s="1">
        <v>43868</v>
      </c>
      <c r="B274" s="2">
        <v>3327.7068678737205</v>
      </c>
    </row>
    <row r="275" spans="1:2" x14ac:dyDescent="0.15">
      <c r="A275" s="1">
        <v>43871</v>
      </c>
      <c r="B275" s="2">
        <v>3352.0939509405812</v>
      </c>
    </row>
    <row r="276" spans="1:2" x14ac:dyDescent="0.15">
      <c r="A276" s="1">
        <v>43872</v>
      </c>
      <c r="B276" s="2">
        <v>3357.7472605343942</v>
      </c>
    </row>
    <row r="277" spans="1:2" x14ac:dyDescent="0.15">
      <c r="A277" s="1">
        <v>43873</v>
      </c>
      <c r="B277" s="2">
        <v>3379.4521901708717</v>
      </c>
    </row>
    <row r="278" spans="1:2" x14ac:dyDescent="0.15">
      <c r="A278" s="1">
        <v>43874</v>
      </c>
      <c r="B278" s="2">
        <v>3373.9373709163533</v>
      </c>
    </row>
    <row r="279" spans="1:2" x14ac:dyDescent="0.15">
      <c r="A279" s="1">
        <v>43875</v>
      </c>
      <c r="B279" s="2">
        <v>3380.1573755321256</v>
      </c>
    </row>
    <row r="280" spans="1:2" x14ac:dyDescent="0.15">
      <c r="A280" s="1">
        <v>43879</v>
      </c>
      <c r="B280" s="2">
        <v>3370.2864814712466</v>
      </c>
    </row>
    <row r="281" spans="1:2" x14ac:dyDescent="0.15">
      <c r="A281" s="1">
        <v>43880</v>
      </c>
      <c r="B281" s="2">
        <v>3386.1527183522226</v>
      </c>
    </row>
    <row r="282" spans="1:2" x14ac:dyDescent="0.15">
      <c r="A282" s="1">
        <v>43881</v>
      </c>
      <c r="B282" s="2">
        <v>3373.2315060711771</v>
      </c>
    </row>
    <row r="283" spans="1:2" x14ac:dyDescent="0.15">
      <c r="A283" s="1">
        <v>43882</v>
      </c>
      <c r="B283" s="2">
        <v>3337.7470178774652</v>
      </c>
    </row>
    <row r="284" spans="1:2" x14ac:dyDescent="0.15">
      <c r="A284" s="1">
        <v>43885</v>
      </c>
      <c r="B284" s="2">
        <v>3225.8864022371604</v>
      </c>
    </row>
    <row r="285" spans="1:2" x14ac:dyDescent="0.15">
      <c r="A285" s="1">
        <v>43886</v>
      </c>
      <c r="B285" s="2">
        <v>3128.2065811070738</v>
      </c>
    </row>
    <row r="286" spans="1:2" x14ac:dyDescent="0.15">
      <c r="A286" s="1">
        <v>43887</v>
      </c>
      <c r="B286" s="2">
        <v>3116.3898493057295</v>
      </c>
    </row>
    <row r="287" spans="1:2" x14ac:dyDescent="0.15">
      <c r="A287" s="1">
        <v>43888</v>
      </c>
      <c r="B287" s="2">
        <v>2978.7578316585978</v>
      </c>
    </row>
    <row r="288" spans="1:2" x14ac:dyDescent="0.15">
      <c r="A288" s="1">
        <v>43889</v>
      </c>
      <c r="B288" s="2">
        <v>2954.223684368626</v>
      </c>
    </row>
    <row r="289" spans="1:4" x14ac:dyDescent="0.15">
      <c r="A289" s="1">
        <v>43892</v>
      </c>
      <c r="B289" s="2">
        <v>3090.232840454777</v>
      </c>
    </row>
    <row r="290" spans="1:4" x14ac:dyDescent="0.15">
      <c r="A290" s="1">
        <v>43893</v>
      </c>
      <c r="B290" s="2">
        <v>3003.3651720328107</v>
      </c>
      <c r="C290" s="3">
        <f>((B290-B289)/B289)*100</f>
        <v>-2.8110395852625247</v>
      </c>
      <c r="D290">
        <v>-2.81</v>
      </c>
    </row>
    <row r="291" spans="1:4" x14ac:dyDescent="0.15">
      <c r="A291" s="1">
        <v>43894</v>
      </c>
      <c r="B291" s="2">
        <v>3130.1168787338538</v>
      </c>
      <c r="C291" s="3">
        <f t="shared" ref="C291:C311" si="0">((B291-B290)/B290)*100</f>
        <v>4.2203228525571497</v>
      </c>
      <c r="D291">
        <v>4.22</v>
      </c>
    </row>
    <row r="292" spans="1:4" x14ac:dyDescent="0.15">
      <c r="A292" s="1">
        <v>43895</v>
      </c>
      <c r="B292" s="2">
        <v>3023.9403107854264</v>
      </c>
      <c r="C292" s="3">
        <f t="shared" si="0"/>
        <v>-3.3920959523842544</v>
      </c>
      <c r="D292">
        <v>-3.39</v>
      </c>
    </row>
    <row r="293" spans="1:4" x14ac:dyDescent="0.15">
      <c r="A293" s="1">
        <v>43896</v>
      </c>
      <c r="B293" s="2">
        <v>2972.371907121661</v>
      </c>
      <c r="C293" s="3">
        <f t="shared" si="0"/>
        <v>-1.7053380147695836</v>
      </c>
      <c r="D293">
        <v>-1.71</v>
      </c>
    </row>
    <row r="294" spans="1:4" x14ac:dyDescent="0.15">
      <c r="A294" s="1">
        <v>43899</v>
      </c>
      <c r="B294" s="2">
        <v>2746.5595752904615</v>
      </c>
      <c r="C294" s="3">
        <f t="shared" si="0"/>
        <v>-7.5970416518257364</v>
      </c>
      <c r="D294">
        <v>-7.6</v>
      </c>
    </row>
    <row r="295" spans="1:4" x14ac:dyDescent="0.15">
      <c r="A295" s="1">
        <v>43900</v>
      </c>
      <c r="B295" s="2">
        <v>2882.2254994584414</v>
      </c>
      <c r="C295" s="3">
        <f t="shared" si="0"/>
        <v>4.9394859441063694</v>
      </c>
      <c r="D295">
        <v>4.9400000000000004</v>
      </c>
    </row>
    <row r="296" spans="1:4" x14ac:dyDescent="0.15">
      <c r="A296" s="1">
        <v>43901</v>
      </c>
      <c r="B296" s="2">
        <v>2741.3835884969585</v>
      </c>
      <c r="C296" s="3">
        <f t="shared" si="0"/>
        <v>-4.8865680699843406</v>
      </c>
      <c r="D296">
        <v>-4.8899999999999997</v>
      </c>
    </row>
    <row r="297" spans="1:4" x14ac:dyDescent="0.15">
      <c r="A297" s="1">
        <v>43902</v>
      </c>
      <c r="B297" s="2">
        <v>2480.6410621926866</v>
      </c>
      <c r="C297" s="3">
        <f t="shared" si="0"/>
        <v>-9.5113477514918436</v>
      </c>
      <c r="D297">
        <v>-9.51</v>
      </c>
    </row>
    <row r="298" spans="1:4" x14ac:dyDescent="0.15">
      <c r="A298" s="1">
        <v>43903</v>
      </c>
      <c r="B298" s="2">
        <v>2711.0216933696265</v>
      </c>
      <c r="C298" s="3">
        <f t="shared" si="0"/>
        <v>9.2871409204724706</v>
      </c>
      <c r="D298">
        <v>9.2899999999999991</v>
      </c>
    </row>
    <row r="299" spans="1:4" x14ac:dyDescent="0.15">
      <c r="A299" s="1">
        <v>43906</v>
      </c>
      <c r="B299" s="2">
        <v>2386.1339329628086</v>
      </c>
      <c r="C299" s="3">
        <f t="shared" si="0"/>
        <v>-11.983960187459926</v>
      </c>
      <c r="D299">
        <v>-11.98</v>
      </c>
    </row>
    <row r="300" spans="1:4" x14ac:dyDescent="0.15">
      <c r="A300" s="1">
        <v>43907</v>
      </c>
      <c r="B300" s="2">
        <v>2529.194198768505</v>
      </c>
      <c r="C300" s="3">
        <f t="shared" si="0"/>
        <v>5.9954834818539169</v>
      </c>
      <c r="D300">
        <v>6</v>
      </c>
    </row>
    <row r="301" spans="1:4" x14ac:dyDescent="0.15">
      <c r="A301" s="1">
        <v>43908</v>
      </c>
      <c r="B301" s="2">
        <v>2398.0952205749618</v>
      </c>
      <c r="C301" s="3">
        <f t="shared" si="0"/>
        <v>-5.1834287085340005</v>
      </c>
      <c r="D301">
        <v>-5.18</v>
      </c>
    </row>
    <row r="302" spans="1:4" x14ac:dyDescent="0.15">
      <c r="A302" s="1">
        <v>43909</v>
      </c>
      <c r="B302" s="2">
        <v>2409.3865927922111</v>
      </c>
      <c r="C302" s="3">
        <f t="shared" si="0"/>
        <v>0.47084753434194848</v>
      </c>
      <c r="D302">
        <v>0.47</v>
      </c>
    </row>
    <row r="303" spans="1:4" x14ac:dyDescent="0.15">
      <c r="A303" s="1">
        <v>43910</v>
      </c>
      <c r="B303" s="2">
        <v>2304.9163004028178</v>
      </c>
      <c r="C303" s="3">
        <f t="shared" si="0"/>
        <v>-4.3359705205433166</v>
      </c>
      <c r="D303">
        <v>-4.34</v>
      </c>
    </row>
    <row r="304" spans="1:4" x14ac:dyDescent="0.15">
      <c r="A304" s="1">
        <v>43913</v>
      </c>
      <c r="B304" s="2">
        <v>2237.3953981131535</v>
      </c>
      <c r="C304" s="3">
        <f t="shared" si="0"/>
        <v>-2.9294296837531149</v>
      </c>
      <c r="D304">
        <v>-2.93</v>
      </c>
    </row>
    <row r="305" spans="1:4" x14ac:dyDescent="0.15">
      <c r="A305" s="1">
        <v>43914</v>
      </c>
      <c r="B305" s="2">
        <v>2447.330367564161</v>
      </c>
      <c r="C305" s="3">
        <f t="shared" si="0"/>
        <v>9.3830071174746461</v>
      </c>
      <c r="D305">
        <v>9.3800000000000008</v>
      </c>
    </row>
    <row r="306" spans="1:4" x14ac:dyDescent="0.15">
      <c r="A306" s="1">
        <v>43915</v>
      </c>
      <c r="B306" s="2">
        <v>2475.5583346509384</v>
      </c>
      <c r="C306" s="3">
        <f t="shared" si="0"/>
        <v>1.1534187399011786</v>
      </c>
      <c r="D306">
        <v>1.1499999999999999</v>
      </c>
    </row>
    <row r="307" spans="1:4" x14ac:dyDescent="0.15">
      <c r="A307" s="1">
        <v>43916</v>
      </c>
      <c r="B307" s="2">
        <v>2630.067156173207</v>
      </c>
      <c r="C307" s="3">
        <f t="shared" si="0"/>
        <v>6.2413726778147129</v>
      </c>
      <c r="D307">
        <v>6.24</v>
      </c>
    </row>
    <row r="308" spans="1:4" x14ac:dyDescent="0.15">
      <c r="A308" s="1">
        <v>43917</v>
      </c>
      <c r="B308" s="2">
        <v>2541.4696507809654</v>
      </c>
      <c r="C308" s="3">
        <f t="shared" si="0"/>
        <v>-3.3686404236594663</v>
      </c>
      <c r="D308">
        <v>-3.37</v>
      </c>
    </row>
    <row r="309" spans="1:4" x14ac:dyDescent="0.15">
      <c r="A309" s="1">
        <v>43920</v>
      </c>
      <c r="B309" s="2">
        <v>2626.6457614821329</v>
      </c>
      <c r="C309" s="3">
        <f t="shared" si="0"/>
        <v>3.3514510265740878</v>
      </c>
      <c r="D309">
        <v>3.35</v>
      </c>
    </row>
    <row r="310" spans="1:4" x14ac:dyDescent="0.15">
      <c r="A310" s="1">
        <v>43921</v>
      </c>
      <c r="B310" s="2">
        <v>2584.5907599343082</v>
      </c>
      <c r="C310" s="3">
        <f t="shared" si="0"/>
        <v>-1.6010914819398585</v>
      </c>
      <c r="D310">
        <v>-1.6</v>
      </c>
    </row>
    <row r="311" spans="1:4" x14ac:dyDescent="0.15">
      <c r="A311" s="1">
        <v>43922</v>
      </c>
      <c r="B311" s="2">
        <v>2470.5044097902091</v>
      </c>
      <c r="C311" s="3">
        <f t="shared" si="0"/>
        <v>-4.4140972688070246</v>
      </c>
      <c r="D311">
        <v>-4.41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4:F311"/>
  <sheetViews>
    <sheetView topLeftCell="A274" workbookViewId="0">
      <selection activeCell="D290" sqref="D290:D311"/>
    </sheetView>
  </sheetViews>
  <sheetFormatPr baseColWidth="10" defaultRowHeight="13" x14ac:dyDescent="0.15"/>
  <cols>
    <col min="1" max="1" width="11.5" bestFit="1" customWidth="1"/>
    <col min="2" max="2" width="60.33203125" bestFit="1" customWidth="1"/>
    <col min="3" max="256" width="8.83203125" customWidth="1"/>
  </cols>
  <sheetData>
    <row r="34" spans="1:2" x14ac:dyDescent="0.15">
      <c r="A34" t="s">
        <v>4</v>
      </c>
      <c r="B34" s="3">
        <f>AVERAGE(B37:B288)</f>
        <v>721.15410291842511</v>
      </c>
    </row>
    <row r="35" spans="1:2" x14ac:dyDescent="0.15">
      <c r="A35" t="s">
        <v>5</v>
      </c>
      <c r="B35" s="3">
        <f>STDEV(B37:B288)</f>
        <v>40.477592335329376</v>
      </c>
    </row>
    <row r="36" spans="1:2" x14ac:dyDescent="0.15">
      <c r="A36" t="s">
        <v>0</v>
      </c>
      <c r="B36" t="s">
        <v>3</v>
      </c>
    </row>
    <row r="37" spans="1:2" x14ac:dyDescent="0.15">
      <c r="A37" s="1">
        <v>43525</v>
      </c>
      <c r="B37" s="2">
        <v>629.46544190781663</v>
      </c>
    </row>
    <row r="38" spans="1:2" x14ac:dyDescent="0.15">
      <c r="A38" s="1">
        <v>43528</v>
      </c>
      <c r="B38" s="2">
        <v>631.88884850960119</v>
      </c>
    </row>
    <row r="39" spans="1:2" x14ac:dyDescent="0.15">
      <c r="A39" s="1">
        <v>43529</v>
      </c>
      <c r="B39" s="2">
        <v>632.12789705319756</v>
      </c>
    </row>
    <row r="40" spans="1:2" x14ac:dyDescent="0.15">
      <c r="A40" s="1">
        <v>43530</v>
      </c>
      <c r="B40" s="2">
        <v>630.89709731548692</v>
      </c>
    </row>
    <row r="41" spans="1:2" x14ac:dyDescent="0.15">
      <c r="A41" s="1">
        <v>43531</v>
      </c>
      <c r="B41" s="2">
        <v>628.55609955854129</v>
      </c>
    </row>
    <row r="42" spans="1:2" x14ac:dyDescent="0.15">
      <c r="A42" s="1">
        <v>43532</v>
      </c>
      <c r="B42" s="2">
        <v>628.55463888199017</v>
      </c>
    </row>
    <row r="43" spans="1:2" x14ac:dyDescent="0.15">
      <c r="A43" s="1">
        <v>43535</v>
      </c>
      <c r="B43" s="2">
        <v>635.69262874601998</v>
      </c>
    </row>
    <row r="44" spans="1:2" x14ac:dyDescent="0.15">
      <c r="A44" s="1">
        <v>43536</v>
      </c>
      <c r="B44" s="2">
        <v>637.5940077553737</v>
      </c>
    </row>
    <row r="45" spans="1:2" x14ac:dyDescent="0.15">
      <c r="A45" s="1">
        <v>43537</v>
      </c>
      <c r="B45" s="2">
        <v>644.21302159349432</v>
      </c>
    </row>
    <row r="46" spans="1:2" x14ac:dyDescent="0.15">
      <c r="A46" s="1">
        <v>43538</v>
      </c>
      <c r="B46" s="2">
        <v>644.3242384584828</v>
      </c>
    </row>
    <row r="47" spans="1:2" x14ac:dyDescent="0.15">
      <c r="A47" s="1">
        <v>43539</v>
      </c>
      <c r="B47" s="2">
        <v>651.70114666930476</v>
      </c>
    </row>
    <row r="48" spans="1:2" x14ac:dyDescent="0.15">
      <c r="A48" s="1">
        <v>43542</v>
      </c>
      <c r="B48" s="2">
        <v>645.70945647197561</v>
      </c>
    </row>
    <row r="49" spans="1:2" x14ac:dyDescent="0.15">
      <c r="A49" s="1">
        <v>43543</v>
      </c>
      <c r="B49" s="2">
        <v>646.01892417673764</v>
      </c>
    </row>
    <row r="50" spans="1:2" x14ac:dyDescent="0.15">
      <c r="A50" s="1">
        <v>43544</v>
      </c>
      <c r="B50" s="2">
        <v>643.72094670617946</v>
      </c>
    </row>
    <row r="51" spans="1:2" x14ac:dyDescent="0.15">
      <c r="A51" s="1">
        <v>43545</v>
      </c>
      <c r="B51" s="2">
        <v>649.86348770965787</v>
      </c>
    </row>
    <row r="52" spans="1:2" x14ac:dyDescent="0.15">
      <c r="A52" s="1">
        <v>43546</v>
      </c>
      <c r="B52" s="2">
        <v>647.14786804926166</v>
      </c>
    </row>
    <row r="53" spans="1:2" x14ac:dyDescent="0.15">
      <c r="A53" s="1">
        <v>43549</v>
      </c>
      <c r="B53" s="2">
        <v>649.06054634498855</v>
      </c>
    </row>
    <row r="54" spans="1:2" x14ac:dyDescent="0.15">
      <c r="A54" s="1">
        <v>43550</v>
      </c>
      <c r="B54" s="2">
        <v>655.76615082358978</v>
      </c>
    </row>
    <row r="55" spans="1:2" x14ac:dyDescent="0.15">
      <c r="A55" s="1">
        <v>43551</v>
      </c>
      <c r="B55" s="2">
        <v>655.86850811541501</v>
      </c>
    </row>
    <row r="56" spans="1:2" x14ac:dyDescent="0.15">
      <c r="A56" s="1">
        <v>43552</v>
      </c>
      <c r="B56" s="2">
        <v>660.65951447201644</v>
      </c>
    </row>
    <row r="57" spans="1:2" x14ac:dyDescent="0.15">
      <c r="A57" s="1">
        <v>43553</v>
      </c>
      <c r="B57" s="2">
        <v>663.93919285790116</v>
      </c>
    </row>
    <row r="58" spans="1:2" x14ac:dyDescent="0.15">
      <c r="A58" s="1">
        <v>43556</v>
      </c>
      <c r="B58" s="2">
        <v>661.14180796032508</v>
      </c>
    </row>
    <row r="59" spans="1:2" x14ac:dyDescent="0.15">
      <c r="A59" s="1">
        <v>43557</v>
      </c>
      <c r="B59" s="2">
        <v>661.45485269871403</v>
      </c>
    </row>
    <row r="60" spans="1:2" x14ac:dyDescent="0.15">
      <c r="A60" s="1">
        <v>43558</v>
      </c>
      <c r="B60" s="2">
        <v>659.8205545060938</v>
      </c>
    </row>
    <row r="61" spans="1:2" x14ac:dyDescent="0.15">
      <c r="A61" s="1">
        <v>43559</v>
      </c>
      <c r="B61" s="2">
        <v>658.69541538863143</v>
      </c>
    </row>
    <row r="62" spans="1:2" x14ac:dyDescent="0.15">
      <c r="A62" s="1">
        <v>43560</v>
      </c>
      <c r="B62" s="2">
        <v>659.66761061421676</v>
      </c>
    </row>
    <row r="63" spans="1:2" x14ac:dyDescent="0.15">
      <c r="A63" s="1">
        <v>43563</v>
      </c>
      <c r="B63" s="2">
        <v>664.68047717139837</v>
      </c>
    </row>
    <row r="64" spans="1:2" x14ac:dyDescent="0.15">
      <c r="A64" s="1">
        <v>43564</v>
      </c>
      <c r="B64" s="2">
        <v>663.52036944712859</v>
      </c>
    </row>
    <row r="65" spans="1:2" x14ac:dyDescent="0.15">
      <c r="A65" s="1">
        <v>43565</v>
      </c>
      <c r="B65" s="2">
        <v>663.92822205461414</v>
      </c>
    </row>
    <row r="66" spans="1:2" x14ac:dyDescent="0.15">
      <c r="A66" s="1">
        <v>43566</v>
      </c>
      <c r="B66" s="2">
        <v>665.35824336731355</v>
      </c>
    </row>
    <row r="67" spans="1:2" x14ac:dyDescent="0.15">
      <c r="A67" s="1">
        <v>43567</v>
      </c>
      <c r="B67" s="2">
        <v>668.07762598212332</v>
      </c>
    </row>
    <row r="68" spans="1:2" x14ac:dyDescent="0.15">
      <c r="A68" s="1">
        <v>43570</v>
      </c>
      <c r="B68" s="2">
        <v>670.40007861993513</v>
      </c>
    </row>
    <row r="69" spans="1:2" x14ac:dyDescent="0.15">
      <c r="A69" s="1">
        <v>43571</v>
      </c>
      <c r="B69" s="2">
        <v>673.3887756418319</v>
      </c>
    </row>
    <row r="70" spans="1:2" x14ac:dyDescent="0.15">
      <c r="A70" s="1">
        <v>43572</v>
      </c>
      <c r="B70" s="2">
        <v>670.75729982318069</v>
      </c>
    </row>
    <row r="71" spans="1:2" x14ac:dyDescent="0.15">
      <c r="A71" s="1">
        <v>43573</v>
      </c>
      <c r="B71" s="2">
        <v>672.77611245357434</v>
      </c>
    </row>
    <row r="72" spans="1:2" x14ac:dyDescent="0.15">
      <c r="A72" s="1">
        <v>43577</v>
      </c>
      <c r="B72" s="2">
        <v>676.98337015407287</v>
      </c>
    </row>
    <row r="73" spans="1:2" x14ac:dyDescent="0.15">
      <c r="A73" s="1">
        <v>43578</v>
      </c>
      <c r="B73" s="2">
        <v>661.32772142888859</v>
      </c>
    </row>
    <row r="74" spans="1:2" x14ac:dyDescent="0.15">
      <c r="A74" s="1">
        <v>43579</v>
      </c>
      <c r="B74" s="2">
        <v>662.69751482785807</v>
      </c>
    </row>
    <row r="75" spans="1:2" x14ac:dyDescent="0.15">
      <c r="A75" s="1">
        <v>43580</v>
      </c>
      <c r="B75" s="2">
        <v>660.76354968068699</v>
      </c>
    </row>
    <row r="76" spans="1:2" x14ac:dyDescent="0.15">
      <c r="A76" s="1">
        <v>43581</v>
      </c>
      <c r="B76" s="2">
        <v>677.01341791689845</v>
      </c>
    </row>
    <row r="77" spans="1:2" x14ac:dyDescent="0.15">
      <c r="A77" s="1">
        <v>43584</v>
      </c>
      <c r="B77" s="2">
        <v>671.97887940797852</v>
      </c>
    </row>
    <row r="78" spans="1:2" x14ac:dyDescent="0.15">
      <c r="A78" s="1">
        <v>43585</v>
      </c>
      <c r="B78" s="2">
        <v>684.02675194667461</v>
      </c>
    </row>
    <row r="79" spans="1:2" x14ac:dyDescent="0.15">
      <c r="A79" s="1">
        <v>43586</v>
      </c>
      <c r="B79" s="2">
        <v>670.78919209146068</v>
      </c>
    </row>
    <row r="80" spans="1:2" x14ac:dyDescent="0.15">
      <c r="A80" s="1">
        <v>43587</v>
      </c>
      <c r="B80" s="2">
        <v>675.72490625154228</v>
      </c>
    </row>
    <row r="81" spans="1:2" x14ac:dyDescent="0.15">
      <c r="A81" s="1">
        <v>43588</v>
      </c>
      <c r="B81" s="2">
        <v>677.95688994080649</v>
      </c>
    </row>
    <row r="82" spans="1:2" x14ac:dyDescent="0.15">
      <c r="A82" s="1">
        <v>43591</v>
      </c>
      <c r="B82" s="2">
        <v>675.96822291231001</v>
      </c>
    </row>
    <row r="83" spans="1:2" x14ac:dyDescent="0.15">
      <c r="A83" s="1">
        <v>43592</v>
      </c>
      <c r="B83" s="2">
        <v>668.87860955311885</v>
      </c>
    </row>
    <row r="84" spans="1:2" x14ac:dyDescent="0.15">
      <c r="A84" s="1">
        <v>43593</v>
      </c>
      <c r="B84" s="2">
        <v>671.70566278842364</v>
      </c>
    </row>
    <row r="85" spans="1:2" x14ac:dyDescent="0.15">
      <c r="A85" s="1">
        <v>43594</v>
      </c>
      <c r="B85" s="2">
        <v>667.16810985761788</v>
      </c>
    </row>
    <row r="86" spans="1:2" x14ac:dyDescent="0.15">
      <c r="A86" s="1">
        <v>43595</v>
      </c>
      <c r="B86" s="2">
        <v>676.65201457457408</v>
      </c>
    </row>
    <row r="87" spans="1:2" x14ac:dyDescent="0.15">
      <c r="A87" s="1">
        <v>43598</v>
      </c>
      <c r="B87" s="2">
        <v>677.84968913370926</v>
      </c>
    </row>
    <row r="88" spans="1:2" x14ac:dyDescent="0.15">
      <c r="A88" s="1">
        <v>43599</v>
      </c>
      <c r="B88" s="2">
        <v>673.8839100104575</v>
      </c>
    </row>
    <row r="89" spans="1:2" x14ac:dyDescent="0.15">
      <c r="A89" s="1">
        <v>43600</v>
      </c>
      <c r="B89" s="2">
        <v>680.05899941465987</v>
      </c>
    </row>
    <row r="90" spans="1:2" x14ac:dyDescent="0.15">
      <c r="A90" s="1">
        <v>43601</v>
      </c>
      <c r="B90" s="2">
        <v>687.88438383243442</v>
      </c>
    </row>
    <row r="91" spans="1:2" x14ac:dyDescent="0.15">
      <c r="A91" s="1">
        <v>43602</v>
      </c>
      <c r="B91" s="2">
        <v>684.06186895490964</v>
      </c>
    </row>
    <row r="92" spans="1:2" x14ac:dyDescent="0.15">
      <c r="A92" s="1">
        <v>43605</v>
      </c>
      <c r="B92" s="2">
        <v>683.81863964571471</v>
      </c>
    </row>
    <row r="93" spans="1:2" x14ac:dyDescent="0.15">
      <c r="A93" s="1">
        <v>43606</v>
      </c>
      <c r="B93" s="2">
        <v>679.89605253974162</v>
      </c>
    </row>
    <row r="94" spans="1:2" x14ac:dyDescent="0.15">
      <c r="A94" s="1">
        <v>43607</v>
      </c>
      <c r="B94" s="2">
        <v>682.43516366167466</v>
      </c>
    </row>
    <row r="95" spans="1:2" x14ac:dyDescent="0.15">
      <c r="A95" s="1">
        <v>43608</v>
      </c>
      <c r="B95" s="2">
        <v>683.35969748627429</v>
      </c>
    </row>
    <row r="96" spans="1:2" x14ac:dyDescent="0.15">
      <c r="A96" s="1">
        <v>43609</v>
      </c>
      <c r="B96" s="2">
        <v>681.66501751902331</v>
      </c>
    </row>
    <row r="97" spans="1:2" x14ac:dyDescent="0.15">
      <c r="A97" s="1">
        <v>43613</v>
      </c>
      <c r="B97" s="2">
        <v>668.44400290461829</v>
      </c>
    </row>
    <row r="98" spans="1:2" x14ac:dyDescent="0.15">
      <c r="A98" s="1">
        <v>43614</v>
      </c>
      <c r="B98" s="2">
        <v>667.24417681518116</v>
      </c>
    </row>
    <row r="99" spans="1:2" x14ac:dyDescent="0.15">
      <c r="A99" s="1">
        <v>43615</v>
      </c>
      <c r="B99" s="2">
        <v>675.3520630724579</v>
      </c>
    </row>
    <row r="100" spans="1:2" x14ac:dyDescent="0.15">
      <c r="A100" s="1">
        <v>43616</v>
      </c>
      <c r="B100" s="2">
        <v>661.85156185744086</v>
      </c>
    </row>
    <row r="101" spans="1:2" x14ac:dyDescent="0.15">
      <c r="A101" s="1">
        <v>43619</v>
      </c>
      <c r="B101" s="2">
        <v>670.30909883726622</v>
      </c>
    </row>
    <row r="102" spans="1:2" x14ac:dyDescent="0.15">
      <c r="A102" s="1">
        <v>43620</v>
      </c>
      <c r="B102" s="2">
        <v>674.07248851510155</v>
      </c>
    </row>
    <row r="103" spans="1:2" x14ac:dyDescent="0.15">
      <c r="A103" s="1">
        <v>43621</v>
      </c>
      <c r="B103" s="2">
        <v>686.67068636635327</v>
      </c>
    </row>
    <row r="104" spans="1:2" x14ac:dyDescent="0.15">
      <c r="A104" s="1">
        <v>43622</v>
      </c>
      <c r="B104" s="2">
        <v>692.19978974947935</v>
      </c>
    </row>
    <row r="105" spans="1:2" x14ac:dyDescent="0.15">
      <c r="A105" s="1">
        <v>43623</v>
      </c>
      <c r="B105" s="2">
        <v>699.55811046879091</v>
      </c>
    </row>
    <row r="106" spans="1:2" x14ac:dyDescent="0.15">
      <c r="A106" s="1">
        <v>43626</v>
      </c>
      <c r="B106" s="2">
        <v>697.6160317643803</v>
      </c>
    </row>
    <row r="107" spans="1:2" x14ac:dyDescent="0.15">
      <c r="A107" s="1">
        <v>43627</v>
      </c>
      <c r="B107" s="2">
        <v>700.34240570767599</v>
      </c>
    </row>
    <row r="108" spans="1:2" x14ac:dyDescent="0.15">
      <c r="A108" s="1">
        <v>43628</v>
      </c>
      <c r="B108" s="2">
        <v>702.36785168109236</v>
      </c>
    </row>
    <row r="109" spans="1:2" x14ac:dyDescent="0.15">
      <c r="A109" s="1">
        <v>43629</v>
      </c>
      <c r="B109" s="2">
        <v>707.48337468932289</v>
      </c>
    </row>
    <row r="110" spans="1:2" x14ac:dyDescent="0.15">
      <c r="A110" s="1">
        <v>43630</v>
      </c>
      <c r="B110" s="2">
        <v>710.01493109499552</v>
      </c>
    </row>
    <row r="111" spans="1:2" x14ac:dyDescent="0.15">
      <c r="A111" s="1">
        <v>43633</v>
      </c>
      <c r="B111" s="2">
        <v>708.6030344537071</v>
      </c>
    </row>
    <row r="112" spans="1:2" x14ac:dyDescent="0.15">
      <c r="A112" s="1">
        <v>43634</v>
      </c>
      <c r="B112" s="2">
        <v>700.7902359804192</v>
      </c>
    </row>
    <row r="113" spans="1:2" x14ac:dyDescent="0.15">
      <c r="A113" s="1">
        <v>43635</v>
      </c>
      <c r="B113" s="2">
        <v>704.81876947578678</v>
      </c>
    </row>
    <row r="114" spans="1:2" x14ac:dyDescent="0.15">
      <c r="A114" s="1">
        <v>43636</v>
      </c>
      <c r="B114" s="2">
        <v>711.0325426002936</v>
      </c>
    </row>
    <row r="115" spans="1:2" x14ac:dyDescent="0.15">
      <c r="A115" s="1">
        <v>43637</v>
      </c>
      <c r="B115" s="2">
        <v>707.35090563105962</v>
      </c>
    </row>
    <row r="116" spans="1:2" x14ac:dyDescent="0.15">
      <c r="A116" s="1">
        <v>43640</v>
      </c>
      <c r="B116" s="2">
        <v>714.89151323010401</v>
      </c>
    </row>
    <row r="117" spans="1:2" x14ac:dyDescent="0.15">
      <c r="A117" s="1">
        <v>43641</v>
      </c>
      <c r="B117" s="2">
        <v>711.493051628594</v>
      </c>
    </row>
    <row r="118" spans="1:2" x14ac:dyDescent="0.15">
      <c r="A118" s="1">
        <v>43642</v>
      </c>
      <c r="B118" s="2">
        <v>697.13502765651629</v>
      </c>
    </row>
    <row r="119" spans="1:2" x14ac:dyDescent="0.15">
      <c r="A119" s="1">
        <v>43643</v>
      </c>
      <c r="B119" s="2">
        <v>697.63717723500849</v>
      </c>
    </row>
    <row r="120" spans="1:2" x14ac:dyDescent="0.15">
      <c r="A120" s="1">
        <v>43644</v>
      </c>
      <c r="B120" s="2">
        <v>696.20734937004613</v>
      </c>
    </row>
    <row r="121" spans="1:2" x14ac:dyDescent="0.15">
      <c r="A121" s="1">
        <v>43647</v>
      </c>
      <c r="B121" s="2">
        <v>701.63911791025862</v>
      </c>
    </row>
    <row r="122" spans="1:2" x14ac:dyDescent="0.15">
      <c r="A122" s="1">
        <v>43648</v>
      </c>
      <c r="B122" s="2">
        <v>707.48045510451061</v>
      </c>
    </row>
    <row r="123" spans="1:2" x14ac:dyDescent="0.15">
      <c r="A123" s="1">
        <v>43649</v>
      </c>
      <c r="B123" s="2">
        <v>722.45841620202896</v>
      </c>
    </row>
    <row r="124" spans="1:2" x14ac:dyDescent="0.15">
      <c r="A124" s="1">
        <v>43651</v>
      </c>
      <c r="B124" s="2">
        <v>716.091799709822</v>
      </c>
    </row>
    <row r="125" spans="1:2" x14ac:dyDescent="0.15">
      <c r="A125" s="1">
        <v>43654</v>
      </c>
      <c r="B125" s="2">
        <v>721.12007649850011</v>
      </c>
    </row>
    <row r="126" spans="1:2" x14ac:dyDescent="0.15">
      <c r="A126" s="1">
        <v>43655</v>
      </c>
      <c r="B126" s="2">
        <v>714.61373489021491</v>
      </c>
    </row>
    <row r="127" spans="1:2" x14ac:dyDescent="0.15">
      <c r="A127" s="1">
        <v>43656</v>
      </c>
      <c r="B127" s="2">
        <v>719.25755531728112</v>
      </c>
    </row>
    <row r="128" spans="1:2" x14ac:dyDescent="0.15">
      <c r="A128" s="1">
        <v>43657</v>
      </c>
      <c r="B128" s="2">
        <v>722.68277031232128</v>
      </c>
    </row>
    <row r="129" spans="1:2" x14ac:dyDescent="0.15">
      <c r="A129" s="1">
        <v>43658</v>
      </c>
      <c r="B129" s="2">
        <v>727.35433606606421</v>
      </c>
    </row>
    <row r="130" spans="1:2" x14ac:dyDescent="0.15">
      <c r="A130" s="1">
        <v>43661</v>
      </c>
      <c r="B130" s="2">
        <v>729.22585907831103</v>
      </c>
    </row>
    <row r="131" spans="1:2" x14ac:dyDescent="0.15">
      <c r="A131" s="1">
        <v>43662</v>
      </c>
      <c r="B131" s="2">
        <v>731.55306536390333</v>
      </c>
    </row>
    <row r="132" spans="1:2" x14ac:dyDescent="0.15">
      <c r="A132" s="1">
        <v>43663</v>
      </c>
      <c r="B132" s="2">
        <v>730.36252565579571</v>
      </c>
    </row>
    <row r="133" spans="1:2" x14ac:dyDescent="0.15">
      <c r="A133" s="1">
        <v>43664</v>
      </c>
      <c r="B133" s="2">
        <v>729.20842660314077</v>
      </c>
    </row>
    <row r="134" spans="1:2" x14ac:dyDescent="0.15">
      <c r="A134" s="1">
        <v>43665</v>
      </c>
      <c r="B134" s="2">
        <v>724.22088199887583</v>
      </c>
    </row>
    <row r="135" spans="1:2" x14ac:dyDescent="0.15">
      <c r="A135" s="1">
        <v>43668</v>
      </c>
      <c r="B135" s="2">
        <v>723.96277087299939</v>
      </c>
    </row>
    <row r="136" spans="1:2" x14ac:dyDescent="0.15">
      <c r="A136" s="1">
        <v>43669</v>
      </c>
      <c r="B136" s="2">
        <v>718.72924905050843</v>
      </c>
    </row>
    <row r="137" spans="1:2" x14ac:dyDescent="0.15">
      <c r="A137" s="1">
        <v>43670</v>
      </c>
      <c r="B137" s="2">
        <v>711.30360334113618</v>
      </c>
    </row>
    <row r="138" spans="1:2" x14ac:dyDescent="0.15">
      <c r="A138" s="1">
        <v>43671</v>
      </c>
      <c r="B138" s="2">
        <v>713.54120634222159</v>
      </c>
    </row>
    <row r="139" spans="1:2" x14ac:dyDescent="0.15">
      <c r="A139" s="1">
        <v>43672</v>
      </c>
      <c r="B139" s="2">
        <v>726.35545311974158</v>
      </c>
    </row>
    <row r="140" spans="1:2" x14ac:dyDescent="0.15">
      <c r="A140" s="1">
        <v>43675</v>
      </c>
      <c r="B140" s="2">
        <v>734.8409376035388</v>
      </c>
    </row>
    <row r="141" spans="1:2" x14ac:dyDescent="0.15">
      <c r="A141" s="1">
        <v>43676</v>
      </c>
      <c r="B141" s="2">
        <v>752.19550746232699</v>
      </c>
    </row>
    <row r="142" spans="1:2" x14ac:dyDescent="0.15">
      <c r="A142" s="1">
        <v>43677</v>
      </c>
      <c r="B142" s="2">
        <v>735.52868234569678</v>
      </c>
    </row>
    <row r="143" spans="1:2" x14ac:dyDescent="0.15">
      <c r="A143" s="1">
        <v>43678</v>
      </c>
      <c r="B143" s="2">
        <v>727.34580043018468</v>
      </c>
    </row>
    <row r="144" spans="1:2" x14ac:dyDescent="0.15">
      <c r="A144" s="1">
        <v>43679</v>
      </c>
      <c r="B144" s="2">
        <v>726.56980626964753</v>
      </c>
    </row>
    <row r="145" spans="1:2" x14ac:dyDescent="0.15">
      <c r="A145" s="1">
        <v>43682</v>
      </c>
      <c r="B145" s="2">
        <v>707.43348171514072</v>
      </c>
    </row>
    <row r="146" spans="1:2" x14ac:dyDescent="0.15">
      <c r="A146" s="1">
        <v>43683</v>
      </c>
      <c r="B146" s="2">
        <v>714.48878202199899</v>
      </c>
    </row>
    <row r="147" spans="1:2" x14ac:dyDescent="0.15">
      <c r="A147" s="1">
        <v>43684</v>
      </c>
      <c r="B147" s="2">
        <v>722.60083338119136</v>
      </c>
    </row>
    <row r="148" spans="1:2" x14ac:dyDescent="0.15">
      <c r="A148" s="1">
        <v>43685</v>
      </c>
      <c r="B148" s="2">
        <v>734.59199319148115</v>
      </c>
    </row>
    <row r="149" spans="1:2" x14ac:dyDescent="0.15">
      <c r="A149" s="1">
        <v>43686</v>
      </c>
      <c r="B149" s="2">
        <v>731.12145622163871</v>
      </c>
    </row>
    <row r="150" spans="1:2" x14ac:dyDescent="0.15">
      <c r="A150" s="1">
        <v>43689</v>
      </c>
      <c r="B150" s="2">
        <v>726.93685734914811</v>
      </c>
    </row>
    <row r="151" spans="1:2" x14ac:dyDescent="0.15">
      <c r="A151" s="1">
        <v>43690</v>
      </c>
      <c r="B151" s="2">
        <v>734.77287447155504</v>
      </c>
    </row>
    <row r="152" spans="1:2" x14ac:dyDescent="0.15">
      <c r="A152" s="1">
        <v>43691</v>
      </c>
      <c r="B152" s="2">
        <v>724.82727882150766</v>
      </c>
    </row>
    <row r="153" spans="1:2" x14ac:dyDescent="0.15">
      <c r="A153" s="1">
        <v>43692</v>
      </c>
      <c r="B153" s="2">
        <v>735.04062845507849</v>
      </c>
    </row>
    <row r="154" spans="1:2" x14ac:dyDescent="0.15">
      <c r="A154" s="1">
        <v>43693</v>
      </c>
      <c r="B154" s="2">
        <v>745.3090677107092</v>
      </c>
    </row>
    <row r="155" spans="1:2" x14ac:dyDescent="0.15">
      <c r="A155" s="1">
        <v>43696</v>
      </c>
      <c r="B155" s="2">
        <v>752.26370602900886</v>
      </c>
    </row>
    <row r="156" spans="1:2" x14ac:dyDescent="0.15">
      <c r="A156" s="1">
        <v>43697</v>
      </c>
      <c r="B156" s="2">
        <v>743.18816174858728</v>
      </c>
    </row>
    <row r="157" spans="1:2" x14ac:dyDescent="0.15">
      <c r="A157" s="1">
        <v>43698</v>
      </c>
      <c r="B157" s="2">
        <v>745.6120112700039</v>
      </c>
    </row>
    <row r="158" spans="1:2" x14ac:dyDescent="0.15">
      <c r="A158" s="1">
        <v>43699</v>
      </c>
      <c r="B158" s="2">
        <v>747.46865435650773</v>
      </c>
    </row>
    <row r="159" spans="1:2" x14ac:dyDescent="0.15">
      <c r="A159" s="1">
        <v>43700</v>
      </c>
      <c r="B159" s="2">
        <v>734.64562843258238</v>
      </c>
    </row>
    <row r="160" spans="1:2" x14ac:dyDescent="0.15">
      <c r="A160" s="1">
        <v>43703</v>
      </c>
      <c r="B160" s="2">
        <v>745.26430616163645</v>
      </c>
    </row>
    <row r="161" spans="1:2" x14ac:dyDescent="0.15">
      <c r="A161" s="1">
        <v>43704</v>
      </c>
      <c r="B161" s="2">
        <v>752.43071390788396</v>
      </c>
    </row>
    <row r="162" spans="1:2" x14ac:dyDescent="0.15">
      <c r="A162" s="1">
        <v>43705</v>
      </c>
      <c r="B162" s="2">
        <v>757.73436342902846</v>
      </c>
    </row>
    <row r="163" spans="1:2" x14ac:dyDescent="0.15">
      <c r="A163" s="1">
        <v>43706</v>
      </c>
      <c r="B163" s="2">
        <v>756.74430007049568</v>
      </c>
    </row>
    <row r="164" spans="1:2" x14ac:dyDescent="0.15">
      <c r="A164" s="1">
        <v>43707</v>
      </c>
      <c r="B164" s="2">
        <v>752.01440976529932</v>
      </c>
    </row>
    <row r="165" spans="1:2" x14ac:dyDescent="0.15">
      <c r="A165" s="1">
        <v>43711</v>
      </c>
      <c r="B165" s="2">
        <v>758.09160232434715</v>
      </c>
    </row>
    <row r="166" spans="1:2" x14ac:dyDescent="0.15">
      <c r="A166" s="1">
        <v>43712</v>
      </c>
      <c r="B166" s="2">
        <v>767.80519311357182</v>
      </c>
    </row>
    <row r="167" spans="1:2" x14ac:dyDescent="0.15">
      <c r="A167" s="1">
        <v>43713</v>
      </c>
      <c r="B167" s="2">
        <v>761.72940951975818</v>
      </c>
    </row>
    <row r="168" spans="1:2" x14ac:dyDescent="0.15">
      <c r="A168" s="1">
        <v>43714</v>
      </c>
      <c r="B168" s="2">
        <v>761.26837329277498</v>
      </c>
    </row>
    <row r="169" spans="1:2" x14ac:dyDescent="0.15">
      <c r="A169" s="1">
        <v>43717</v>
      </c>
      <c r="B169" s="2">
        <v>751.77647199253431</v>
      </c>
    </row>
    <row r="170" spans="1:2" x14ac:dyDescent="0.15">
      <c r="A170" s="1">
        <v>43718</v>
      </c>
      <c r="B170" s="2">
        <v>738.66890080234577</v>
      </c>
    </row>
    <row r="171" spans="1:2" x14ac:dyDescent="0.15">
      <c r="A171" s="1">
        <v>43719</v>
      </c>
      <c r="B171" s="2">
        <v>746.17811736431963</v>
      </c>
    </row>
    <row r="172" spans="1:2" x14ac:dyDescent="0.15">
      <c r="A172" s="1">
        <v>43720</v>
      </c>
      <c r="B172" s="2">
        <v>753.15823140033001</v>
      </c>
    </row>
    <row r="173" spans="1:2" x14ac:dyDescent="0.15">
      <c r="A173" s="1">
        <v>43721</v>
      </c>
      <c r="B173" s="2">
        <v>746.99907194804427</v>
      </c>
    </row>
    <row r="174" spans="1:2" x14ac:dyDescent="0.15">
      <c r="A174" s="1">
        <v>43724</v>
      </c>
      <c r="B174" s="2">
        <v>732.32207919887901</v>
      </c>
    </row>
    <row r="175" spans="1:2" x14ac:dyDescent="0.15">
      <c r="A175" s="1">
        <v>43725</v>
      </c>
      <c r="B175" s="2">
        <v>741.11333885187435</v>
      </c>
    </row>
    <row r="176" spans="1:2" x14ac:dyDescent="0.15">
      <c r="A176" s="1">
        <v>43726</v>
      </c>
      <c r="B176" s="2">
        <v>744.16640607519389</v>
      </c>
    </row>
    <row r="177" spans="1:2" x14ac:dyDescent="0.15">
      <c r="A177" s="1">
        <v>43727</v>
      </c>
      <c r="B177" s="2">
        <v>746.72409510672014</v>
      </c>
    </row>
    <row r="178" spans="1:2" x14ac:dyDescent="0.15">
      <c r="A178" s="1">
        <v>43728</v>
      </c>
      <c r="B178" s="2">
        <v>748.16168920980749</v>
      </c>
    </row>
    <row r="179" spans="1:2" x14ac:dyDescent="0.15">
      <c r="A179" s="1">
        <v>43731</v>
      </c>
      <c r="B179" s="2">
        <v>753.94561775259081</v>
      </c>
    </row>
    <row r="180" spans="1:2" x14ac:dyDescent="0.15">
      <c r="A180" s="1">
        <v>43732</v>
      </c>
      <c r="B180" s="2">
        <v>757.8948604827583</v>
      </c>
    </row>
    <row r="181" spans="1:2" x14ac:dyDescent="0.15">
      <c r="A181" s="1">
        <v>43733</v>
      </c>
      <c r="B181" s="2">
        <v>754.73928758407283</v>
      </c>
    </row>
    <row r="182" spans="1:2" x14ac:dyDescent="0.15">
      <c r="A182" s="1">
        <v>43734</v>
      </c>
      <c r="B182" s="2">
        <v>762.69664662209129</v>
      </c>
    </row>
    <row r="183" spans="1:2" x14ac:dyDescent="0.15">
      <c r="A183" s="1">
        <v>43735</v>
      </c>
      <c r="B183" s="2">
        <v>766.5176571615807</v>
      </c>
    </row>
    <row r="184" spans="1:2" x14ac:dyDescent="0.15">
      <c r="A184" s="1">
        <v>43738</v>
      </c>
      <c r="B184" s="2">
        <v>765.73673456708639</v>
      </c>
    </row>
    <row r="185" spans="1:2" x14ac:dyDescent="0.15">
      <c r="A185" s="1">
        <v>43739</v>
      </c>
      <c r="B185" s="2">
        <v>760.78112667128653</v>
      </c>
    </row>
    <row r="186" spans="1:2" x14ac:dyDescent="0.15">
      <c r="A186" s="1">
        <v>43740</v>
      </c>
      <c r="B186" s="2">
        <v>745.77599921789965</v>
      </c>
    </row>
    <row r="187" spans="1:2" x14ac:dyDescent="0.15">
      <c r="A187" s="1">
        <v>43741</v>
      </c>
      <c r="B187" s="2">
        <v>748.61118532051614</v>
      </c>
    </row>
    <row r="188" spans="1:2" x14ac:dyDescent="0.15">
      <c r="A188" s="1">
        <v>43742</v>
      </c>
      <c r="B188" s="2">
        <v>762.07712015266691</v>
      </c>
    </row>
    <row r="189" spans="1:2" x14ac:dyDescent="0.15">
      <c r="A189" s="1">
        <v>43745</v>
      </c>
      <c r="B189" s="2">
        <v>755.74353321897411</v>
      </c>
    </row>
    <row r="190" spans="1:2" x14ac:dyDescent="0.15">
      <c r="A190" s="1">
        <v>43746</v>
      </c>
      <c r="B190" s="2">
        <v>744.27857333323504</v>
      </c>
    </row>
    <row r="191" spans="1:2" x14ac:dyDescent="0.15">
      <c r="A191" s="1">
        <v>43747</v>
      </c>
      <c r="B191" s="2">
        <v>748.87737950152246</v>
      </c>
    </row>
    <row r="192" spans="1:2" x14ac:dyDescent="0.15">
      <c r="A192" s="1">
        <v>43748</v>
      </c>
      <c r="B192" s="2">
        <v>749.23405779574114</v>
      </c>
    </row>
    <row r="193" spans="1:2" x14ac:dyDescent="0.15">
      <c r="A193" s="1">
        <v>43749</v>
      </c>
      <c r="B193" s="2">
        <v>744.45654546980302</v>
      </c>
    </row>
    <row r="194" spans="1:2" x14ac:dyDescent="0.15">
      <c r="A194" s="1">
        <v>43752</v>
      </c>
      <c r="B194" s="2">
        <v>736.61781959897496</v>
      </c>
    </row>
    <row r="195" spans="1:2" x14ac:dyDescent="0.15">
      <c r="A195" s="1">
        <v>43753</v>
      </c>
      <c r="B195" s="2">
        <v>722.15796807312552</v>
      </c>
    </row>
    <row r="196" spans="1:2" x14ac:dyDescent="0.15">
      <c r="A196" s="1">
        <v>43754</v>
      </c>
      <c r="B196" s="2">
        <v>723.36127228805969</v>
      </c>
    </row>
    <row r="197" spans="1:2" x14ac:dyDescent="0.15">
      <c r="A197" s="1">
        <v>43755</v>
      </c>
      <c r="B197" s="2">
        <v>720.97535486657046</v>
      </c>
    </row>
    <row r="198" spans="1:2" x14ac:dyDescent="0.15">
      <c r="A198" s="1">
        <v>43756</v>
      </c>
      <c r="B198" s="2">
        <v>725.42738693736123</v>
      </c>
    </row>
    <row r="199" spans="1:2" x14ac:dyDescent="0.15">
      <c r="A199" s="1">
        <v>43759</v>
      </c>
      <c r="B199" s="2">
        <v>733.42282263792129</v>
      </c>
    </row>
    <row r="200" spans="1:2" x14ac:dyDescent="0.15">
      <c r="A200" s="1">
        <v>43760</v>
      </c>
      <c r="B200" s="2">
        <v>738.9997838491164</v>
      </c>
    </row>
    <row r="201" spans="1:2" x14ac:dyDescent="0.15">
      <c r="A201" s="1">
        <v>43761</v>
      </c>
      <c r="B201" s="2">
        <v>746.63852063894137</v>
      </c>
    </row>
    <row r="202" spans="1:2" x14ac:dyDescent="0.15">
      <c r="A202" s="1">
        <v>43762</v>
      </c>
      <c r="B202" s="2">
        <v>756.12691581618662</v>
      </c>
    </row>
    <row r="203" spans="1:2" x14ac:dyDescent="0.15">
      <c r="A203" s="1">
        <v>43763</v>
      </c>
      <c r="B203" s="2">
        <v>749.03858851633868</v>
      </c>
    </row>
    <row r="204" spans="1:2" x14ac:dyDescent="0.15">
      <c r="A204" s="1">
        <v>43766</v>
      </c>
      <c r="B204" s="2">
        <v>746.90666450115066</v>
      </c>
    </row>
    <row r="205" spans="1:2" x14ac:dyDescent="0.15">
      <c r="A205" s="1">
        <v>43767</v>
      </c>
      <c r="B205" s="2">
        <v>748.16054767611479</v>
      </c>
    </row>
    <row r="206" spans="1:2" x14ac:dyDescent="0.15">
      <c r="A206" s="1">
        <v>43768</v>
      </c>
      <c r="B206" s="2">
        <v>756.09227712804773</v>
      </c>
    </row>
    <row r="207" spans="1:2" x14ac:dyDescent="0.15">
      <c r="A207" s="1">
        <v>43769</v>
      </c>
      <c r="B207" s="2">
        <v>750.98622085951831</v>
      </c>
    </row>
    <row r="208" spans="1:2" x14ac:dyDescent="0.15">
      <c r="A208" s="1">
        <v>43770</v>
      </c>
      <c r="B208" s="2">
        <v>744.68164108207998</v>
      </c>
    </row>
    <row r="209" spans="1:2" x14ac:dyDescent="0.15">
      <c r="A209" s="1">
        <v>43773</v>
      </c>
      <c r="B209" s="2">
        <v>720.41944171362718</v>
      </c>
    </row>
    <row r="210" spans="1:2" x14ac:dyDescent="0.15">
      <c r="A210" s="1">
        <v>43774</v>
      </c>
      <c r="B210" s="2">
        <v>721.3971315974203</v>
      </c>
    </row>
    <row r="211" spans="1:2" x14ac:dyDescent="0.15">
      <c r="A211" s="1">
        <v>43775</v>
      </c>
      <c r="B211" s="2">
        <v>729.14087410350066</v>
      </c>
    </row>
    <row r="212" spans="1:2" x14ac:dyDescent="0.15">
      <c r="A212" s="1">
        <v>43776</v>
      </c>
      <c r="B212" s="2">
        <v>726.28047252270039</v>
      </c>
    </row>
    <row r="213" spans="1:2" x14ac:dyDescent="0.15">
      <c r="A213" s="1">
        <v>43777</v>
      </c>
      <c r="B213" s="2">
        <v>726.4642499114691</v>
      </c>
    </row>
    <row r="214" spans="1:2" x14ac:dyDescent="0.15">
      <c r="A214" s="1">
        <v>43780</v>
      </c>
      <c r="B214" s="2">
        <v>724.39450351576795</v>
      </c>
    </row>
    <row r="215" spans="1:2" x14ac:dyDescent="0.15">
      <c r="A215" s="1">
        <v>43781</v>
      </c>
      <c r="B215" s="2">
        <v>723.85880418440365</v>
      </c>
    </row>
    <row r="216" spans="1:2" x14ac:dyDescent="0.15">
      <c r="A216" s="1">
        <v>43782</v>
      </c>
      <c r="B216" s="2">
        <v>731.49521796961062</v>
      </c>
    </row>
    <row r="217" spans="1:2" x14ac:dyDescent="0.15">
      <c r="A217" s="1">
        <v>43783</v>
      </c>
      <c r="B217" s="2">
        <v>730.15767717385802</v>
      </c>
    </row>
    <row r="218" spans="1:2" x14ac:dyDescent="0.15">
      <c r="A218" s="1">
        <v>43784</v>
      </c>
      <c r="B218" s="2">
        <v>729.02890409143367</v>
      </c>
    </row>
    <row r="219" spans="1:2" x14ac:dyDescent="0.15">
      <c r="A219" s="1">
        <v>43787</v>
      </c>
      <c r="B219" s="2">
        <v>736.59668894878121</v>
      </c>
    </row>
    <row r="220" spans="1:2" x14ac:dyDescent="0.15">
      <c r="A220" s="1">
        <v>43788</v>
      </c>
      <c r="B220" s="2">
        <v>735.44763378267794</v>
      </c>
    </row>
    <row r="221" spans="1:2" x14ac:dyDescent="0.15">
      <c r="A221" s="1">
        <v>43789</v>
      </c>
      <c r="B221" s="2">
        <v>740.37823970832756</v>
      </c>
    </row>
    <row r="222" spans="1:2" x14ac:dyDescent="0.15">
      <c r="A222" s="1">
        <v>43790</v>
      </c>
      <c r="B222" s="2">
        <v>730.32657761124597</v>
      </c>
    </row>
    <row r="223" spans="1:2" x14ac:dyDescent="0.15">
      <c r="A223" s="1">
        <v>43791</v>
      </c>
      <c r="B223" s="2">
        <v>730.36865901134581</v>
      </c>
    </row>
    <row r="224" spans="1:2" x14ac:dyDescent="0.15">
      <c r="A224" s="1">
        <v>43794</v>
      </c>
      <c r="B224" s="2">
        <v>731.33374898068791</v>
      </c>
    </row>
    <row r="225" spans="1:2" x14ac:dyDescent="0.15">
      <c r="A225" s="1">
        <v>43795</v>
      </c>
      <c r="B225" s="2">
        <v>741.36729130284732</v>
      </c>
    </row>
    <row r="226" spans="1:2" x14ac:dyDescent="0.15">
      <c r="A226" s="1">
        <v>43796</v>
      </c>
      <c r="B226" s="2">
        <v>740.54417889295382</v>
      </c>
    </row>
    <row r="227" spans="1:2" x14ac:dyDescent="0.15">
      <c r="A227" s="1">
        <v>43798</v>
      </c>
      <c r="B227" s="2">
        <v>741.90276968363219</v>
      </c>
    </row>
    <row r="228" spans="1:2" x14ac:dyDescent="0.15">
      <c r="A228" s="1">
        <v>43801</v>
      </c>
      <c r="B228" s="2">
        <v>744.23726439629615</v>
      </c>
    </row>
    <row r="229" spans="1:2" x14ac:dyDescent="0.15">
      <c r="A229" s="1">
        <v>43802</v>
      </c>
      <c r="B229" s="2">
        <v>744.16630532030388</v>
      </c>
    </row>
    <row r="230" spans="1:2" x14ac:dyDescent="0.15">
      <c r="A230" s="1">
        <v>43803</v>
      </c>
      <c r="B230" s="2">
        <v>753.59153944862999</v>
      </c>
    </row>
    <row r="231" spans="1:2" x14ac:dyDescent="0.15">
      <c r="A231" s="1">
        <v>43804</v>
      </c>
      <c r="B231" s="2">
        <v>752.97862019894558</v>
      </c>
    </row>
    <row r="232" spans="1:2" x14ac:dyDescent="0.15">
      <c r="A232" s="1">
        <v>43805</v>
      </c>
      <c r="B232" s="2">
        <v>752.48542732343492</v>
      </c>
    </row>
    <row r="233" spans="1:2" x14ac:dyDescent="0.15">
      <c r="A233" s="1">
        <v>43808</v>
      </c>
      <c r="B233" s="2">
        <v>756.05268702048852</v>
      </c>
    </row>
    <row r="234" spans="1:2" x14ac:dyDescent="0.15">
      <c r="A234" s="1">
        <v>43809</v>
      </c>
      <c r="B234" s="2">
        <v>751.63402553102628</v>
      </c>
    </row>
    <row r="235" spans="1:2" x14ac:dyDescent="0.15">
      <c r="A235" s="1">
        <v>43810</v>
      </c>
      <c r="B235" s="2">
        <v>752.98941986455918</v>
      </c>
    </row>
    <row r="236" spans="1:2" x14ac:dyDescent="0.15">
      <c r="A236" s="1">
        <v>43811</v>
      </c>
      <c r="B236" s="2">
        <v>751.81575116939212</v>
      </c>
    </row>
    <row r="237" spans="1:2" x14ac:dyDescent="0.15">
      <c r="A237" s="1">
        <v>43812</v>
      </c>
      <c r="B237" s="2">
        <v>757.71371818714772</v>
      </c>
    </row>
    <row r="238" spans="1:2" x14ac:dyDescent="0.15">
      <c r="A238" s="1">
        <v>43815</v>
      </c>
      <c r="B238" s="2">
        <v>757.81364385087466</v>
      </c>
    </row>
    <row r="239" spans="1:2" x14ac:dyDescent="0.15">
      <c r="A239" s="1">
        <v>43816</v>
      </c>
      <c r="B239" s="2">
        <v>754.56797265523676</v>
      </c>
    </row>
    <row r="240" spans="1:2" x14ac:dyDescent="0.15">
      <c r="A240" s="1">
        <v>43817</v>
      </c>
      <c r="B240" s="2">
        <v>749.65692286601654</v>
      </c>
    </row>
    <row r="241" spans="1:2" x14ac:dyDescent="0.15">
      <c r="A241" s="1">
        <v>43818</v>
      </c>
      <c r="B241" s="2">
        <v>755.13440842170235</v>
      </c>
    </row>
    <row r="242" spans="1:2" x14ac:dyDescent="0.15">
      <c r="A242" s="1">
        <v>43819</v>
      </c>
      <c r="B242" s="2">
        <v>758.97536694433677</v>
      </c>
    </row>
    <row r="243" spans="1:2" x14ac:dyDescent="0.15">
      <c r="A243" s="1">
        <v>43822</v>
      </c>
      <c r="B243" s="2">
        <v>756.17544847022589</v>
      </c>
    </row>
    <row r="244" spans="1:2" x14ac:dyDescent="0.15">
      <c r="A244" s="1">
        <v>43823</v>
      </c>
      <c r="B244" s="2">
        <v>757.52241661659082</v>
      </c>
    </row>
    <row r="245" spans="1:2" x14ac:dyDescent="0.15">
      <c r="A245" s="1">
        <v>43825</v>
      </c>
      <c r="B245" s="2">
        <v>757.66968208989897</v>
      </c>
    </row>
    <row r="246" spans="1:2" x14ac:dyDescent="0.15">
      <c r="A246" s="1">
        <v>43826</v>
      </c>
      <c r="B246" s="2">
        <v>762.88156824151645</v>
      </c>
    </row>
    <row r="247" spans="1:2" x14ac:dyDescent="0.15">
      <c r="A247" s="1">
        <v>43829</v>
      </c>
      <c r="B247" s="2">
        <v>754.63710215170011</v>
      </c>
    </row>
    <row r="248" spans="1:2" x14ac:dyDescent="0.15">
      <c r="A248" s="1">
        <v>43830</v>
      </c>
      <c r="B248" s="2">
        <v>757.0070334477922</v>
      </c>
    </row>
    <row r="249" spans="1:2" x14ac:dyDescent="0.15">
      <c r="A249" s="1">
        <v>43832</v>
      </c>
      <c r="B249" s="2">
        <v>748.48075850820135</v>
      </c>
    </row>
    <row r="250" spans="1:2" x14ac:dyDescent="0.15">
      <c r="A250" s="1">
        <v>43833</v>
      </c>
      <c r="B250" s="2">
        <v>745.02586906771717</v>
      </c>
    </row>
    <row r="251" spans="1:2" x14ac:dyDescent="0.15">
      <c r="A251" s="1">
        <v>43836</v>
      </c>
      <c r="B251" s="2">
        <v>746.78202294735206</v>
      </c>
    </row>
    <row r="252" spans="1:2" x14ac:dyDescent="0.15">
      <c r="A252" s="1">
        <v>43837</v>
      </c>
      <c r="B252" s="2">
        <v>741.54633482751399</v>
      </c>
    </row>
    <row r="253" spans="1:2" x14ac:dyDescent="0.15">
      <c r="A253" s="1">
        <v>43838</v>
      </c>
      <c r="B253" s="2">
        <v>746.75563009527013</v>
      </c>
    </row>
    <row r="254" spans="1:2" x14ac:dyDescent="0.15">
      <c r="A254" s="1">
        <v>43839</v>
      </c>
      <c r="B254" s="2">
        <v>754.79479009948614</v>
      </c>
    </row>
    <row r="255" spans="1:2" x14ac:dyDescent="0.15">
      <c r="A255" s="1">
        <v>43840</v>
      </c>
      <c r="B255" s="2">
        <v>756.47301759395509</v>
      </c>
    </row>
    <row r="256" spans="1:2" x14ac:dyDescent="0.15">
      <c r="A256" s="1">
        <v>43843</v>
      </c>
      <c r="B256" s="2">
        <v>761.44798286961668</v>
      </c>
    </row>
    <row r="257" spans="1:2" x14ac:dyDescent="0.15">
      <c r="A257" s="1">
        <v>43844</v>
      </c>
      <c r="B257" s="2">
        <v>761.07753156514241</v>
      </c>
    </row>
    <row r="258" spans="1:2" x14ac:dyDescent="0.15">
      <c r="A258" s="1">
        <v>43845</v>
      </c>
      <c r="B258" s="2">
        <v>768.11562428687284</v>
      </c>
    </row>
    <row r="259" spans="1:2" x14ac:dyDescent="0.15">
      <c r="A259" s="1">
        <v>43846</v>
      </c>
      <c r="B259" s="2">
        <v>769.2578977400899</v>
      </c>
    </row>
    <row r="260" spans="1:2" x14ac:dyDescent="0.15">
      <c r="A260" s="1">
        <v>43847</v>
      </c>
      <c r="B260" s="2">
        <v>772.14699838775573</v>
      </c>
    </row>
    <row r="261" spans="1:2" x14ac:dyDescent="0.15">
      <c r="A261" s="1">
        <v>43851</v>
      </c>
      <c r="B261" s="2">
        <v>771.52279259625027</v>
      </c>
    </row>
    <row r="262" spans="1:2" x14ac:dyDescent="0.15">
      <c r="A262" s="1">
        <v>43852</v>
      </c>
      <c r="B262" s="2">
        <v>771.23364468681837</v>
      </c>
    </row>
    <row r="263" spans="1:2" x14ac:dyDescent="0.15">
      <c r="A263" s="1">
        <v>43853</v>
      </c>
      <c r="B263" s="2">
        <v>765.38521430061792</v>
      </c>
    </row>
    <row r="264" spans="1:2" x14ac:dyDescent="0.15">
      <c r="A264" s="1">
        <v>43854</v>
      </c>
      <c r="B264" s="2">
        <v>764.83278099922154</v>
      </c>
    </row>
    <row r="265" spans="1:2" x14ac:dyDescent="0.15">
      <c r="A265" s="1">
        <v>43857</v>
      </c>
      <c r="B265" s="2">
        <v>767.93096094734244</v>
      </c>
    </row>
    <row r="266" spans="1:2" x14ac:dyDescent="0.15">
      <c r="A266" s="1">
        <v>43858</v>
      </c>
      <c r="B266" s="2">
        <v>768.35751404329937</v>
      </c>
    </row>
    <row r="267" spans="1:2" x14ac:dyDescent="0.15">
      <c r="A267" s="1">
        <v>43859</v>
      </c>
      <c r="B267" s="2">
        <v>762.2009225258322</v>
      </c>
    </row>
    <row r="268" spans="1:2" x14ac:dyDescent="0.15">
      <c r="A268" s="1">
        <v>43860</v>
      </c>
      <c r="B268" s="2">
        <v>767.80050153244531</v>
      </c>
    </row>
    <row r="269" spans="1:2" x14ac:dyDescent="0.15">
      <c r="A269" s="1">
        <v>43861</v>
      </c>
      <c r="B269" s="2">
        <v>768.52715107984716</v>
      </c>
    </row>
    <row r="270" spans="1:2" x14ac:dyDescent="0.15">
      <c r="A270" s="1">
        <v>43864</v>
      </c>
      <c r="B270" s="2">
        <v>772.57187900532415</v>
      </c>
    </row>
    <row r="271" spans="1:2" x14ac:dyDescent="0.15">
      <c r="A271" s="1">
        <v>43865</v>
      </c>
      <c r="B271" s="2">
        <v>776.77711810158132</v>
      </c>
    </row>
    <row r="272" spans="1:2" x14ac:dyDescent="0.15">
      <c r="A272" s="1">
        <v>43866</v>
      </c>
      <c r="B272" s="2">
        <v>783.15793953450668</v>
      </c>
    </row>
    <row r="273" spans="1:2" x14ac:dyDescent="0.15">
      <c r="A273" s="1">
        <v>43867</v>
      </c>
      <c r="B273" s="2">
        <v>784.87047484640266</v>
      </c>
    </row>
    <row r="274" spans="1:2" x14ac:dyDescent="0.15">
      <c r="A274" s="1">
        <v>43868</v>
      </c>
      <c r="B274" s="2">
        <v>780.68948262805372</v>
      </c>
    </row>
    <row r="275" spans="1:2" x14ac:dyDescent="0.15">
      <c r="A275" s="1">
        <v>43871</v>
      </c>
      <c r="B275" s="2">
        <v>784.47624364250839</v>
      </c>
    </row>
    <row r="276" spans="1:2" x14ac:dyDescent="0.15">
      <c r="A276" s="1">
        <v>43872</v>
      </c>
      <c r="B276" s="2">
        <v>772.87960782812183</v>
      </c>
    </row>
    <row r="277" spans="1:2" x14ac:dyDescent="0.15">
      <c r="A277" s="1">
        <v>43873</v>
      </c>
      <c r="B277" s="2">
        <v>769.40846866635536</v>
      </c>
    </row>
    <row r="278" spans="1:2" x14ac:dyDescent="0.15">
      <c r="A278" s="1">
        <v>43874</v>
      </c>
      <c r="B278" s="2">
        <v>776.67161264963147</v>
      </c>
    </row>
    <row r="279" spans="1:2" x14ac:dyDescent="0.15">
      <c r="A279" s="1">
        <v>43875</v>
      </c>
      <c r="B279" s="2">
        <v>782.80523701293453</v>
      </c>
    </row>
    <row r="280" spans="1:2" x14ac:dyDescent="0.15">
      <c r="A280" s="1">
        <v>43879</v>
      </c>
      <c r="B280" s="2">
        <v>775.541030543587</v>
      </c>
    </row>
    <row r="281" spans="1:2" x14ac:dyDescent="0.15">
      <c r="A281" s="1">
        <v>43880</v>
      </c>
      <c r="B281" s="2">
        <v>776.96609237462826</v>
      </c>
    </row>
    <row r="282" spans="1:2" x14ac:dyDescent="0.15">
      <c r="A282" s="1">
        <v>43881</v>
      </c>
      <c r="B282" s="2">
        <v>780.32434278717653</v>
      </c>
    </row>
    <row r="283" spans="1:2" x14ac:dyDescent="0.15">
      <c r="A283" s="1">
        <v>43882</v>
      </c>
      <c r="B283" s="2">
        <v>782.16132436585588</v>
      </c>
    </row>
    <row r="284" spans="1:2" x14ac:dyDescent="0.15">
      <c r="A284" s="1">
        <v>43885</v>
      </c>
      <c r="B284" s="2">
        <v>764.76622044641897</v>
      </c>
    </row>
    <row r="285" spans="1:2" x14ac:dyDescent="0.15">
      <c r="A285" s="1">
        <v>43886</v>
      </c>
      <c r="B285" s="2">
        <v>755.2872804046375</v>
      </c>
    </row>
    <row r="286" spans="1:2" x14ac:dyDescent="0.15">
      <c r="A286" s="1">
        <v>43887</v>
      </c>
      <c r="B286" s="2">
        <v>748.24234518793207</v>
      </c>
    </row>
    <row r="287" spans="1:2" x14ac:dyDescent="0.15">
      <c r="A287" s="1">
        <v>43888</v>
      </c>
      <c r="B287" s="2">
        <v>713.26176032370438</v>
      </c>
    </row>
    <row r="288" spans="1:2" x14ac:dyDescent="0.15">
      <c r="A288" s="1">
        <v>43889</v>
      </c>
      <c r="B288" s="2">
        <v>703.94398566596283</v>
      </c>
    </row>
    <row r="289" spans="1:6" x14ac:dyDescent="0.15">
      <c r="A289" s="1">
        <v>43892</v>
      </c>
      <c r="B289" s="2">
        <v>747.73473897113331</v>
      </c>
    </row>
    <row r="290" spans="1:6" x14ac:dyDescent="0.15">
      <c r="A290" s="1">
        <v>43893</v>
      </c>
      <c r="B290" s="2">
        <v>739.19364008145988</v>
      </c>
      <c r="C290" s="3">
        <f>((B290-B289)/B289)*100</f>
        <v>-1.1422632177589878</v>
      </c>
      <c r="D290">
        <v>-1.1399999999999999</v>
      </c>
    </row>
    <row r="291" spans="1:6" x14ac:dyDescent="0.15">
      <c r="A291" s="1">
        <v>43894</v>
      </c>
      <c r="B291" s="2">
        <v>777.2645888046909</v>
      </c>
      <c r="C291" s="3">
        <f t="shared" ref="C291:C311" si="0">((B291-B290)/B290)*100</f>
        <v>5.1503349946349068</v>
      </c>
      <c r="D291">
        <v>5.15</v>
      </c>
    </row>
    <row r="292" spans="1:6" x14ac:dyDescent="0.15">
      <c r="A292" s="1">
        <v>43895</v>
      </c>
      <c r="B292" s="2">
        <v>758.29108866073125</v>
      </c>
      <c r="C292" s="3">
        <f t="shared" si="0"/>
        <v>-2.4410606654727283</v>
      </c>
      <c r="D292">
        <v>-2.44</v>
      </c>
    </row>
    <row r="293" spans="1:6" x14ac:dyDescent="0.15">
      <c r="A293" s="1">
        <v>43896</v>
      </c>
      <c r="B293" s="2">
        <v>759.77357746139455</v>
      </c>
      <c r="C293" s="3">
        <f t="shared" si="0"/>
        <v>0.19550391964669234</v>
      </c>
      <c r="D293">
        <v>0.2</v>
      </c>
    </row>
    <row r="294" spans="1:6" x14ac:dyDescent="0.15">
      <c r="A294" s="1">
        <v>43899</v>
      </c>
      <c r="B294" s="2">
        <v>728.69027203163853</v>
      </c>
      <c r="C294" s="3">
        <f t="shared" si="0"/>
        <v>-4.0911274558419901</v>
      </c>
      <c r="D294">
        <v>-4.09</v>
      </c>
    </row>
    <row r="295" spans="1:6" x14ac:dyDescent="0.15">
      <c r="A295" s="1">
        <v>43900</v>
      </c>
      <c r="B295" s="2">
        <v>750.63391142603552</v>
      </c>
      <c r="C295" s="3">
        <f t="shared" si="0"/>
        <v>3.0113808618875373</v>
      </c>
      <c r="D295">
        <v>3.01</v>
      </c>
    </row>
    <row r="296" spans="1:6" x14ac:dyDescent="0.15">
      <c r="A296" s="1">
        <v>43901</v>
      </c>
      <c r="B296" s="2">
        <v>702.35762290444143</v>
      </c>
      <c r="C296" s="3">
        <f t="shared" si="0"/>
        <v>-6.4314025501299303</v>
      </c>
      <c r="D296">
        <v>-6.43</v>
      </c>
    </row>
    <row r="297" spans="1:6" x14ac:dyDescent="0.15">
      <c r="A297" s="1">
        <v>43902</v>
      </c>
      <c r="B297" s="2">
        <v>643.61760858293792</v>
      </c>
      <c r="C297" s="3">
        <f t="shared" si="0"/>
        <v>-8.3632628743456134</v>
      </c>
      <c r="D297">
        <v>-8.36</v>
      </c>
    </row>
    <row r="298" spans="1:6" x14ac:dyDescent="0.15">
      <c r="A298" s="1">
        <v>43903</v>
      </c>
      <c r="B298" s="2">
        <v>710.52823055244562</v>
      </c>
      <c r="C298" s="3">
        <f t="shared" si="0"/>
        <v>10.396021034419144</v>
      </c>
      <c r="D298">
        <v>10.4</v>
      </c>
    </row>
    <row r="299" spans="1:6" x14ac:dyDescent="0.15">
      <c r="A299" s="1">
        <v>43906</v>
      </c>
      <c r="B299" s="2">
        <v>678.29872732333752</v>
      </c>
      <c r="C299" s="3">
        <f t="shared" si="0"/>
        <v>-4.5359919343456925</v>
      </c>
      <c r="D299">
        <v>-4.54</v>
      </c>
    </row>
    <row r="300" spans="1:6" x14ac:dyDescent="0.15">
      <c r="A300" s="1">
        <v>43907</v>
      </c>
      <c r="B300" s="2">
        <v>743.59203087137018</v>
      </c>
      <c r="C300" s="3">
        <f t="shared" si="0"/>
        <v>9.6260395188546575</v>
      </c>
      <c r="D300">
        <v>9.6300000000000008</v>
      </c>
    </row>
    <row r="301" spans="1:6" x14ac:dyDescent="0.15">
      <c r="A301" s="1">
        <v>43908</v>
      </c>
      <c r="B301" s="2">
        <v>730.00109226598011</v>
      </c>
      <c r="C301" s="3">
        <f t="shared" si="0"/>
        <v>-1.8277412937661108</v>
      </c>
      <c r="D301">
        <v>-1.83</v>
      </c>
    </row>
    <row r="302" spans="1:6" x14ac:dyDescent="0.15">
      <c r="A302" s="1">
        <v>43909</v>
      </c>
      <c r="B302" s="2">
        <v>695.53817532481082</v>
      </c>
      <c r="C302" s="3">
        <f t="shared" si="0"/>
        <v>-4.7209404624579001</v>
      </c>
      <c r="D302">
        <v>-4.72</v>
      </c>
    </row>
    <row r="303" spans="1:6" x14ac:dyDescent="0.15">
      <c r="A303" s="1">
        <v>43910</v>
      </c>
      <c r="B303" s="2">
        <v>646.05074059028277</v>
      </c>
      <c r="C303" s="3">
        <f t="shared" si="0"/>
        <v>-7.1149846967663297</v>
      </c>
      <c r="D303">
        <v>-7.11</v>
      </c>
      <c r="F303" s="3"/>
    </row>
    <row r="304" spans="1:6" x14ac:dyDescent="0.15">
      <c r="A304" s="1">
        <v>43913</v>
      </c>
      <c r="B304" s="2">
        <v>617.18036097482457</v>
      </c>
      <c r="C304" s="3">
        <f t="shared" si="0"/>
        <v>-4.4687480102692794</v>
      </c>
      <c r="D304">
        <v>-4.47</v>
      </c>
    </row>
    <row r="305" spans="1:4" x14ac:dyDescent="0.15">
      <c r="A305" s="1">
        <v>43914</v>
      </c>
      <c r="B305" s="2">
        <v>644.61587491124908</v>
      </c>
      <c r="C305" s="3">
        <f t="shared" si="0"/>
        <v>4.4452992465752867</v>
      </c>
      <c r="D305">
        <v>4.45</v>
      </c>
    </row>
    <row r="306" spans="1:4" x14ac:dyDescent="0.15">
      <c r="A306" s="1">
        <v>43915</v>
      </c>
      <c r="B306" s="2">
        <v>630.86324515431272</v>
      </c>
      <c r="C306" s="3">
        <f t="shared" si="0"/>
        <v>-2.1334612274061393</v>
      </c>
      <c r="D306">
        <v>-2.13</v>
      </c>
    </row>
    <row r="307" spans="1:4" x14ac:dyDescent="0.15">
      <c r="A307" s="1">
        <v>43916</v>
      </c>
      <c r="B307" s="2">
        <v>670.32325559418643</v>
      </c>
      <c r="C307" s="3">
        <f t="shared" si="0"/>
        <v>6.254923034899833</v>
      </c>
      <c r="D307">
        <v>6.25</v>
      </c>
    </row>
    <row r="308" spans="1:4" x14ac:dyDescent="0.15">
      <c r="A308" s="1">
        <v>43917</v>
      </c>
      <c r="B308" s="2">
        <v>684.11686354688175</v>
      </c>
      <c r="C308" s="3">
        <f t="shared" si="0"/>
        <v>2.0577546486088139</v>
      </c>
      <c r="D308">
        <v>2.06</v>
      </c>
    </row>
    <row r="309" spans="1:4" x14ac:dyDescent="0.15">
      <c r="A309" s="1">
        <v>43920</v>
      </c>
      <c r="B309" s="2">
        <v>711.81955533498922</v>
      </c>
      <c r="C309" s="3">
        <f t="shared" si="0"/>
        <v>4.0494092843260301</v>
      </c>
      <c r="D309">
        <v>4.05</v>
      </c>
    </row>
    <row r="310" spans="1:4" x14ac:dyDescent="0.15">
      <c r="A310" s="1">
        <v>43921</v>
      </c>
      <c r="B310" s="2">
        <v>687.60091850755362</v>
      </c>
      <c r="C310" s="3">
        <f t="shared" si="0"/>
        <v>-3.4023562075416818</v>
      </c>
      <c r="D310">
        <v>-3.4</v>
      </c>
    </row>
    <row r="311" spans="1:4" x14ac:dyDescent="0.15">
      <c r="A311" s="1">
        <v>43922</v>
      </c>
      <c r="B311" s="2">
        <v>682.53550458587426</v>
      </c>
      <c r="C311" s="3">
        <f t="shared" si="0"/>
        <v>-0.73667934194647311</v>
      </c>
      <c r="D311">
        <v>-0.74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77"/>
  <sheetViews>
    <sheetView topLeftCell="J1" workbookViewId="0">
      <selection activeCell="I5" sqref="I5"/>
    </sheetView>
  </sheetViews>
  <sheetFormatPr baseColWidth="10" defaultRowHeight="13" x14ac:dyDescent="0.15"/>
  <cols>
    <col min="1" max="1" width="28" customWidth="1"/>
    <col min="2" max="2" width="43.5" customWidth="1"/>
    <col min="3" max="3" width="29.5" customWidth="1"/>
    <col min="4" max="6" width="57" customWidth="1"/>
    <col min="8" max="8" width="13.1640625" style="8" customWidth="1"/>
    <col min="9" max="10" width="45.5" customWidth="1"/>
    <col min="11" max="11" width="26.1640625" customWidth="1"/>
    <col min="12" max="12" width="58.33203125" customWidth="1"/>
    <col min="13" max="13" width="48.33203125" bestFit="1" customWidth="1"/>
  </cols>
  <sheetData>
    <row r="1" spans="1:13" x14ac:dyDescent="0.15">
      <c r="A1" s="4"/>
      <c r="B1" s="14" t="s">
        <v>6</v>
      </c>
      <c r="C1" s="14"/>
      <c r="D1" s="14"/>
      <c r="E1" s="10"/>
      <c r="F1" s="7"/>
      <c r="I1" s="15" t="s">
        <v>7</v>
      </c>
      <c r="J1" s="15"/>
      <c r="K1" s="15"/>
      <c r="L1" s="15"/>
      <c r="M1" s="3"/>
    </row>
    <row r="2" spans="1:13" x14ac:dyDescent="0.15">
      <c r="A2" s="4" t="s">
        <v>0</v>
      </c>
      <c r="B2" s="4" t="s">
        <v>1</v>
      </c>
      <c r="C2" s="4" t="s">
        <v>2</v>
      </c>
      <c r="D2" s="4" t="s">
        <v>3</v>
      </c>
      <c r="E2" s="4" t="s">
        <v>15</v>
      </c>
      <c r="F2" s="4" t="s">
        <v>13</v>
      </c>
      <c r="H2" s="8" t="s">
        <v>0</v>
      </c>
      <c r="I2" s="8" t="s">
        <v>1</v>
      </c>
      <c r="J2" s="8" t="s">
        <v>13</v>
      </c>
      <c r="K2" s="8" t="s">
        <v>2</v>
      </c>
      <c r="L2" s="8" t="s">
        <v>3</v>
      </c>
      <c r="M2" s="12" t="s">
        <v>15</v>
      </c>
    </row>
    <row r="3" spans="1:13" x14ac:dyDescent="0.15">
      <c r="A3" s="5">
        <v>43525</v>
      </c>
      <c r="B3" s="6">
        <v>115.68</v>
      </c>
      <c r="C3" s="6">
        <v>2803.6943543530765</v>
      </c>
      <c r="D3" s="6">
        <v>629.46544190781663</v>
      </c>
      <c r="E3" s="4">
        <v>98.44</v>
      </c>
      <c r="F3" s="9">
        <v>66</v>
      </c>
      <c r="H3" s="1">
        <v>43525</v>
      </c>
      <c r="M3" s="3"/>
    </row>
    <row r="4" spans="1:13" x14ac:dyDescent="0.15">
      <c r="A4" s="5">
        <v>43528</v>
      </c>
      <c r="B4" s="6">
        <v>116.44</v>
      </c>
      <c r="C4" s="6">
        <v>2792.8109017188544</v>
      </c>
      <c r="D4" s="6">
        <v>631.88884850960119</v>
      </c>
      <c r="E4" s="4">
        <v>98.87</v>
      </c>
      <c r="F4" s="9">
        <v>66.03</v>
      </c>
      <c r="H4" s="1">
        <v>43528</v>
      </c>
      <c r="I4" s="3">
        <f>((B4-B3)/B3)*100</f>
        <v>0.65698478561548312</v>
      </c>
      <c r="J4" s="3">
        <f>((F4-F3)/F3)*100</f>
        <v>4.5454545454547177E-2</v>
      </c>
      <c r="K4" s="3">
        <f>((C4-C3)/C3)*100</f>
        <v>-0.38818256409883561</v>
      </c>
      <c r="L4" s="3">
        <f>((D4-D3)/D3)*100</f>
        <v>0.38499438419360665</v>
      </c>
      <c r="M4" s="3">
        <f>((E4-E3)/E3)*100</f>
        <v>0.43681430312881636</v>
      </c>
    </row>
    <row r="5" spans="1:13" x14ac:dyDescent="0.15">
      <c r="A5" s="5">
        <v>43529</v>
      </c>
      <c r="B5" s="6">
        <v>116.68</v>
      </c>
      <c r="C5" s="6">
        <v>2789.6509801528641</v>
      </c>
      <c r="D5" s="6">
        <v>632.12789705319756</v>
      </c>
      <c r="E5" s="4">
        <v>99.09</v>
      </c>
      <c r="F5" s="9">
        <v>65.72</v>
      </c>
      <c r="H5" s="1">
        <v>43529</v>
      </c>
      <c r="I5" s="3">
        <f t="shared" ref="I5:I68" si="0">((B5-B4)/B4)*100</f>
        <v>0.2061147372037179</v>
      </c>
      <c r="J5" s="3">
        <f t="shared" ref="J5:J68" si="1">((F5-F4)/F4)*100</f>
        <v>-0.46948356807512076</v>
      </c>
      <c r="K5" s="3">
        <f t="shared" ref="K5:K68" si="2">((C5-C4)/C4)*100</f>
        <v>-0.11314484500348811</v>
      </c>
      <c r="L5" s="3">
        <f t="shared" ref="L5:L68" si="3">((D5-D4)/D4)*100</f>
        <v>3.7830790044831135E-2</v>
      </c>
      <c r="M5" s="3">
        <f t="shared" ref="M5:M68" si="4">((E5-E4)/E4)*100</f>
        <v>0.2225144128653776</v>
      </c>
    </row>
    <row r="6" spans="1:13" x14ac:dyDescent="0.15">
      <c r="A6" s="5">
        <v>43530</v>
      </c>
      <c r="B6" s="6">
        <v>116.13</v>
      </c>
      <c r="C6" s="6">
        <v>2771.4476422090356</v>
      </c>
      <c r="D6" s="6">
        <v>630.89709731548692</v>
      </c>
      <c r="E6" s="4">
        <v>98.93</v>
      </c>
      <c r="F6" s="9">
        <v>65.61</v>
      </c>
      <c r="H6" s="1">
        <v>43530</v>
      </c>
      <c r="I6" s="3">
        <f t="shared" si="0"/>
        <v>-0.47137470003429149</v>
      </c>
      <c r="J6" s="3">
        <f t="shared" si="1"/>
        <v>-0.16737674984783846</v>
      </c>
      <c r="K6" s="3">
        <f t="shared" si="2"/>
        <v>-0.6525310181573688</v>
      </c>
      <c r="L6" s="3">
        <f t="shared" si="3"/>
        <v>-0.19470739124918907</v>
      </c>
      <c r="M6" s="3">
        <f t="shared" si="4"/>
        <v>-0.16146937127863215</v>
      </c>
    </row>
    <row r="7" spans="1:13" x14ac:dyDescent="0.15">
      <c r="A7" s="5">
        <v>43531</v>
      </c>
      <c r="B7" s="6">
        <v>115.18</v>
      </c>
      <c r="C7" s="6">
        <v>2748.9257803355367</v>
      </c>
      <c r="D7" s="6">
        <v>628.55609955854129</v>
      </c>
      <c r="E7" s="4">
        <v>98.55</v>
      </c>
      <c r="F7" s="9">
        <v>65.34</v>
      </c>
      <c r="H7" s="1">
        <v>43531</v>
      </c>
      <c r="I7" s="3">
        <f t="shared" si="0"/>
        <v>-0.81804873848272519</v>
      </c>
      <c r="J7" s="3">
        <f t="shared" si="1"/>
        <v>-0.41152263374484993</v>
      </c>
      <c r="K7" s="3">
        <f t="shared" si="2"/>
        <v>-0.81263890865163191</v>
      </c>
      <c r="L7" s="3">
        <f t="shared" si="3"/>
        <v>-0.37105857150187282</v>
      </c>
      <c r="M7" s="3">
        <f t="shared" si="4"/>
        <v>-0.38410997675124797</v>
      </c>
    </row>
    <row r="8" spans="1:13" x14ac:dyDescent="0.15">
      <c r="A8" s="5">
        <v>43532</v>
      </c>
      <c r="B8" s="6">
        <v>115.88</v>
      </c>
      <c r="C8" s="6">
        <v>2743.0676692161346</v>
      </c>
      <c r="D8" s="6">
        <v>628.55463888199017</v>
      </c>
      <c r="E8" s="4">
        <v>98.41</v>
      </c>
      <c r="F8" s="9">
        <v>65.349999999999994</v>
      </c>
      <c r="H8" s="1">
        <v>43532</v>
      </c>
      <c r="I8" s="3">
        <f>((B8-B7)/B7)*100</f>
        <v>0.60774440006944652</v>
      </c>
      <c r="J8" s="3">
        <f t="shared" si="1"/>
        <v>1.5304560759092293E-2</v>
      </c>
      <c r="K8" s="3">
        <f t="shared" si="2"/>
        <v>-0.21310546691759219</v>
      </c>
      <c r="L8" s="3">
        <f t="shared" si="3"/>
        <v>-2.3238602761866612E-4</v>
      </c>
      <c r="M8" s="3">
        <f t="shared" si="4"/>
        <v>-0.14205986808726595</v>
      </c>
    </row>
    <row r="9" spans="1:13" x14ac:dyDescent="0.15">
      <c r="A9" s="5">
        <v>43535</v>
      </c>
      <c r="B9" s="6">
        <v>117.59</v>
      </c>
      <c r="C9" s="6">
        <v>2783.2950066621156</v>
      </c>
      <c r="D9" s="6">
        <v>635.69262874601998</v>
      </c>
      <c r="E9" s="4">
        <v>99.58</v>
      </c>
      <c r="F9" s="9">
        <v>65.849999999999994</v>
      </c>
      <c r="H9" s="1">
        <v>43535</v>
      </c>
      <c r="I9" s="3">
        <f t="shared" si="0"/>
        <v>1.4756644804970729</v>
      </c>
      <c r="J9" s="3">
        <f t="shared" si="1"/>
        <v>0.76511094108645761</v>
      </c>
      <c r="K9" s="3">
        <f t="shared" si="2"/>
        <v>1.4665091166881949</v>
      </c>
      <c r="L9" s="3">
        <f t="shared" si="3"/>
        <v>1.1356196299380026</v>
      </c>
      <c r="M9" s="3">
        <f t="shared" si="4"/>
        <v>1.188903566710702</v>
      </c>
    </row>
    <row r="10" spans="1:13" x14ac:dyDescent="0.15">
      <c r="A10" s="5">
        <v>43536</v>
      </c>
      <c r="B10" s="6">
        <v>117.78</v>
      </c>
      <c r="C10" s="6">
        <v>2791.5222805753579</v>
      </c>
      <c r="D10" s="6">
        <v>637.5940077553737</v>
      </c>
      <c r="E10" s="4">
        <v>100.05</v>
      </c>
      <c r="F10" s="9">
        <v>65.739999999999995</v>
      </c>
      <c r="H10" s="1">
        <v>43536</v>
      </c>
      <c r="I10" s="3">
        <f t="shared" si="0"/>
        <v>0.16157836550726909</v>
      </c>
      <c r="J10" s="3">
        <f t="shared" si="1"/>
        <v>-0.16704631738800219</v>
      </c>
      <c r="K10" s="3">
        <f t="shared" si="2"/>
        <v>0.29559474987557477</v>
      </c>
      <c r="L10" s="3">
        <f t="shared" si="3"/>
        <v>0.29910351691577997</v>
      </c>
      <c r="M10" s="3">
        <f t="shared" si="4"/>
        <v>0.47198232576822546</v>
      </c>
    </row>
    <row r="11" spans="1:13" x14ac:dyDescent="0.15">
      <c r="A11" s="5">
        <v>43537</v>
      </c>
      <c r="B11" s="6">
        <v>118.47</v>
      </c>
      <c r="C11" s="6">
        <v>2810.9175122646666</v>
      </c>
      <c r="D11" s="6">
        <v>644.21302159349432</v>
      </c>
      <c r="E11" s="4">
        <v>101.18</v>
      </c>
      <c r="F11" s="9">
        <v>66.52</v>
      </c>
      <c r="H11" s="1">
        <v>43537</v>
      </c>
      <c r="I11" s="3">
        <f t="shared" si="0"/>
        <v>0.5858380030565441</v>
      </c>
      <c r="J11" s="3">
        <f t="shared" si="1"/>
        <v>1.1864922421661106</v>
      </c>
      <c r="K11" s="3">
        <f t="shared" si="2"/>
        <v>0.69479050281164867</v>
      </c>
      <c r="L11" s="3">
        <f t="shared" si="3"/>
        <v>1.0381235955185051</v>
      </c>
      <c r="M11" s="3">
        <f t="shared" si="4"/>
        <v>1.1294352823588303</v>
      </c>
    </row>
    <row r="12" spans="1:13" x14ac:dyDescent="0.15">
      <c r="A12" s="5">
        <v>43538</v>
      </c>
      <c r="B12" s="6">
        <v>118.45</v>
      </c>
      <c r="C12" s="6">
        <v>2808.4827876644808</v>
      </c>
      <c r="D12" s="6">
        <v>644.3242384584828</v>
      </c>
      <c r="E12" s="4">
        <v>101.32</v>
      </c>
      <c r="F12" s="9">
        <v>66.25</v>
      </c>
      <c r="H12" s="1">
        <v>43538</v>
      </c>
      <c r="I12" s="3">
        <f t="shared" si="0"/>
        <v>-1.6881911032325503E-2</v>
      </c>
      <c r="J12" s="3">
        <f t="shared" si="1"/>
        <v>-0.40589296452194235</v>
      </c>
      <c r="K12" s="3">
        <f t="shared" si="2"/>
        <v>-8.6616721748770414E-2</v>
      </c>
      <c r="L12" s="3">
        <f t="shared" si="3"/>
        <v>1.726398896957675E-2</v>
      </c>
      <c r="M12" s="3">
        <f t="shared" si="4"/>
        <v>0.1383672662581403</v>
      </c>
    </row>
    <row r="13" spans="1:13" x14ac:dyDescent="0.15">
      <c r="A13" s="5">
        <v>43539</v>
      </c>
      <c r="B13" s="6">
        <v>120.19</v>
      </c>
      <c r="C13" s="6">
        <v>2822.4766492394797</v>
      </c>
      <c r="D13" s="6">
        <v>651.70114666930476</v>
      </c>
      <c r="E13" s="4">
        <v>102.44</v>
      </c>
      <c r="F13" s="9">
        <v>67.2</v>
      </c>
      <c r="H13" s="1">
        <v>43539</v>
      </c>
      <c r="I13" s="3">
        <f t="shared" si="0"/>
        <v>1.4689742507387038</v>
      </c>
      <c r="J13" s="3">
        <f t="shared" si="1"/>
        <v>1.4339622641509477</v>
      </c>
      <c r="K13" s="3">
        <f t="shared" si="2"/>
        <v>0.49827122446550809</v>
      </c>
      <c r="L13" s="3">
        <f t="shared" si="3"/>
        <v>1.1449062087856408</v>
      </c>
      <c r="M13" s="3">
        <f t="shared" si="4"/>
        <v>1.105408606395583</v>
      </c>
    </row>
    <row r="14" spans="1:13" x14ac:dyDescent="0.15">
      <c r="A14" s="5">
        <v>43542</v>
      </c>
      <c r="B14" s="6">
        <v>119.57</v>
      </c>
      <c r="C14" s="6">
        <v>2832.9405791163622</v>
      </c>
      <c r="D14" s="6">
        <v>645.70945647197561</v>
      </c>
      <c r="E14" s="4">
        <v>101.51</v>
      </c>
      <c r="F14" s="9">
        <v>66.290000000000006</v>
      </c>
      <c r="H14" s="1">
        <v>43542</v>
      </c>
      <c r="I14" s="3">
        <f t="shared" si="0"/>
        <v>-0.51584990431816669</v>
      </c>
      <c r="J14" s="3">
        <f t="shared" si="1"/>
        <v>-1.3541666666666614</v>
      </c>
      <c r="K14" s="3">
        <f t="shared" si="2"/>
        <v>0.37073574655443203</v>
      </c>
      <c r="L14" s="3">
        <f t="shared" si="3"/>
        <v>-0.91939230549943096</v>
      </c>
      <c r="M14" s="3">
        <f t="shared" si="4"/>
        <v>-0.90784849668097667</v>
      </c>
    </row>
    <row r="15" spans="1:13" x14ac:dyDescent="0.15">
      <c r="A15" s="5">
        <v>43543</v>
      </c>
      <c r="B15" s="6">
        <v>119.94</v>
      </c>
      <c r="C15" s="6">
        <v>2832.5673856183626</v>
      </c>
      <c r="D15" s="6">
        <v>646.01892417673764</v>
      </c>
      <c r="E15" s="4">
        <v>101.9</v>
      </c>
      <c r="F15" s="9">
        <v>65.75</v>
      </c>
      <c r="H15" s="1">
        <v>43543</v>
      </c>
      <c r="I15" s="3">
        <f t="shared" si="0"/>
        <v>0.30944216776783856</v>
      </c>
      <c r="J15" s="3">
        <f t="shared" si="1"/>
        <v>-0.81460250414844804</v>
      </c>
      <c r="K15" s="3">
        <f t="shared" si="2"/>
        <v>-1.3173361303470811E-2</v>
      </c>
      <c r="L15" s="3">
        <f t="shared" si="3"/>
        <v>4.7926772894561008E-2</v>
      </c>
      <c r="M15" s="3">
        <f t="shared" si="4"/>
        <v>0.3841986011230426</v>
      </c>
    </row>
    <row r="16" spans="1:13" x14ac:dyDescent="0.15">
      <c r="A16" s="5">
        <v>43544</v>
      </c>
      <c r="B16" s="6">
        <v>119.57</v>
      </c>
      <c r="C16" s="6">
        <v>2824.2258141318821</v>
      </c>
      <c r="D16" s="6">
        <v>643.72094670617946</v>
      </c>
      <c r="E16" s="4">
        <v>101.72</v>
      </c>
      <c r="F16" s="9">
        <v>65.11</v>
      </c>
      <c r="H16" s="1">
        <v>43544</v>
      </c>
      <c r="I16" s="3">
        <f t="shared" si="0"/>
        <v>-0.30848757712189812</v>
      </c>
      <c r="J16" s="3">
        <f t="shared" si="1"/>
        <v>-0.97338403041825183</v>
      </c>
      <c r="K16" s="3">
        <f t="shared" si="2"/>
        <v>-0.29448801567202459</v>
      </c>
      <c r="L16" s="3">
        <f t="shared" si="3"/>
        <v>-0.35571364623515278</v>
      </c>
      <c r="M16" s="3">
        <f t="shared" si="4"/>
        <v>-0.17664376840039922</v>
      </c>
    </row>
    <row r="17" spans="1:13" x14ac:dyDescent="0.15">
      <c r="A17" s="5">
        <v>43545</v>
      </c>
      <c r="B17" s="6">
        <v>121.46</v>
      </c>
      <c r="C17" s="6">
        <v>2854.8766697000342</v>
      </c>
      <c r="D17" s="6">
        <v>649.86348770965787</v>
      </c>
      <c r="E17" s="4">
        <v>102.49</v>
      </c>
      <c r="F17" s="9">
        <v>65.83</v>
      </c>
      <c r="H17" s="1">
        <v>43545</v>
      </c>
      <c r="I17" s="3">
        <f t="shared" si="0"/>
        <v>1.5806640461654267</v>
      </c>
      <c r="J17" s="3">
        <f t="shared" si="1"/>
        <v>1.1058209184457055</v>
      </c>
      <c r="K17" s="3">
        <f t="shared" si="2"/>
        <v>1.0852834576747061</v>
      </c>
      <c r="L17" s="3">
        <f t="shared" si="3"/>
        <v>0.95422419216103593</v>
      </c>
      <c r="M17" s="3">
        <f t="shared" si="4"/>
        <v>0.75697994494690912</v>
      </c>
    </row>
    <row r="18" spans="1:13" x14ac:dyDescent="0.15">
      <c r="A18" s="5">
        <v>43546</v>
      </c>
      <c r="B18" s="6">
        <v>122.05</v>
      </c>
      <c r="C18" s="6">
        <v>2800.7124470588578</v>
      </c>
      <c r="D18" s="6">
        <v>647.14786804926166</v>
      </c>
      <c r="E18" s="4">
        <v>101.66</v>
      </c>
      <c r="F18" s="9">
        <v>66</v>
      </c>
      <c r="H18" s="1">
        <v>43546</v>
      </c>
      <c r="I18" s="3">
        <f t="shared" si="0"/>
        <v>0.48575662769636374</v>
      </c>
      <c r="J18" s="3">
        <f t="shared" si="1"/>
        <v>0.25824092359107048</v>
      </c>
      <c r="K18" s="3">
        <f t="shared" si="2"/>
        <v>-1.8972526279696516</v>
      </c>
      <c r="L18" s="3">
        <f t="shared" si="3"/>
        <v>-0.41787540179661287</v>
      </c>
      <c r="M18" s="3">
        <f t="shared" si="4"/>
        <v>-0.80983510586398522</v>
      </c>
    </row>
    <row r="19" spans="1:13" x14ac:dyDescent="0.15">
      <c r="A19" s="5">
        <v>43549</v>
      </c>
      <c r="B19" s="6">
        <v>121.91</v>
      </c>
      <c r="C19" s="6">
        <v>2798.3616451060097</v>
      </c>
      <c r="D19" s="6">
        <v>649.06054634498855</v>
      </c>
      <c r="E19" s="4">
        <v>101.96</v>
      </c>
      <c r="F19" s="9">
        <v>66.260000000000005</v>
      </c>
      <c r="H19" s="1">
        <v>43549</v>
      </c>
      <c r="I19" s="3">
        <f t="shared" si="0"/>
        <v>-0.11470708725932041</v>
      </c>
      <c r="J19" s="3">
        <f t="shared" si="1"/>
        <v>0.39393939393940169</v>
      </c>
      <c r="K19" s="3">
        <f t="shared" si="2"/>
        <v>-8.3935855511220375E-2</v>
      </c>
      <c r="L19" s="3">
        <f t="shared" si="3"/>
        <v>0.29555506402151915</v>
      </c>
      <c r="M19" s="3">
        <f t="shared" si="4"/>
        <v>0.29510131811921814</v>
      </c>
    </row>
    <row r="20" spans="1:13" x14ac:dyDescent="0.15">
      <c r="A20" s="5">
        <v>43550</v>
      </c>
      <c r="B20" s="6">
        <v>123.08</v>
      </c>
      <c r="C20" s="6">
        <v>2818.4578854696329</v>
      </c>
      <c r="D20" s="6">
        <v>655.76615082358978</v>
      </c>
      <c r="E20" s="4">
        <v>103.02</v>
      </c>
      <c r="F20" s="9">
        <v>66.92</v>
      </c>
      <c r="H20" s="1">
        <v>43550</v>
      </c>
      <c r="I20" s="3">
        <f t="shared" si="0"/>
        <v>0.9597243868427543</v>
      </c>
      <c r="J20" s="3">
        <f t="shared" si="1"/>
        <v>0.99607606399033588</v>
      </c>
      <c r="K20" s="3">
        <f t="shared" si="2"/>
        <v>0.71814307485127815</v>
      </c>
      <c r="L20" s="3">
        <f t="shared" si="3"/>
        <v>1.0331246470552022</v>
      </c>
      <c r="M20" s="3">
        <f t="shared" si="4"/>
        <v>1.0396233817183231</v>
      </c>
    </row>
    <row r="21" spans="1:13" x14ac:dyDescent="0.15">
      <c r="A21" s="5">
        <v>43551</v>
      </c>
      <c r="B21" s="6">
        <v>123.35</v>
      </c>
      <c r="C21" s="6">
        <v>2805.373156624692</v>
      </c>
      <c r="D21" s="6">
        <v>655.86850811541501</v>
      </c>
      <c r="E21" s="4">
        <v>102.9</v>
      </c>
      <c r="F21" s="9">
        <v>67.010000000000005</v>
      </c>
      <c r="H21" s="1">
        <v>43551</v>
      </c>
      <c r="I21" s="3">
        <f t="shared" si="0"/>
        <v>0.21936951576210273</v>
      </c>
      <c r="J21" s="3">
        <f t="shared" si="1"/>
        <v>0.13448894202032785</v>
      </c>
      <c r="K21" s="3">
        <f t="shared" si="2"/>
        <v>-0.46425135221634073</v>
      </c>
      <c r="L21" s="3">
        <f t="shared" si="3"/>
        <v>1.5608809893080923E-2</v>
      </c>
      <c r="M21" s="3">
        <f t="shared" si="4"/>
        <v>-0.11648223645893063</v>
      </c>
    </row>
    <row r="22" spans="1:13" x14ac:dyDescent="0.15">
      <c r="A22" s="5">
        <v>43552</v>
      </c>
      <c r="B22" s="6">
        <v>123.89</v>
      </c>
      <c r="C22" s="6">
        <v>2815.437294914158</v>
      </c>
      <c r="D22" s="6">
        <v>660.65951447201644</v>
      </c>
      <c r="E22" s="4">
        <v>103.55</v>
      </c>
      <c r="F22" s="9">
        <v>67.37</v>
      </c>
      <c r="H22" s="1">
        <v>43552</v>
      </c>
      <c r="I22" s="3">
        <f t="shared" si="0"/>
        <v>0.43777867855695685</v>
      </c>
      <c r="J22" s="3">
        <f t="shared" si="1"/>
        <v>0.5372332487688396</v>
      </c>
      <c r="K22" s="3">
        <f t="shared" si="2"/>
        <v>0.35874508407910788</v>
      </c>
      <c r="L22" s="3">
        <f t="shared" si="3"/>
        <v>0.73048275642445426</v>
      </c>
      <c r="M22" s="3">
        <f t="shared" si="4"/>
        <v>0.63168124392613356</v>
      </c>
    </row>
    <row r="23" spans="1:13" x14ac:dyDescent="0.15">
      <c r="A23" s="5">
        <v>43553</v>
      </c>
      <c r="B23" s="6">
        <v>123.9</v>
      </c>
      <c r="C23" s="6">
        <v>2834.3998195751506</v>
      </c>
      <c r="D23" s="6">
        <v>663.93919285790116</v>
      </c>
      <c r="E23" s="4">
        <v>104.05</v>
      </c>
      <c r="F23" s="9">
        <v>68.540000000000006</v>
      </c>
      <c r="H23" s="1">
        <v>43553</v>
      </c>
      <c r="I23" s="3">
        <f t="shared" si="0"/>
        <v>8.0716764872105218E-3</v>
      </c>
      <c r="J23" s="3">
        <f t="shared" si="1"/>
        <v>1.7366780466082852</v>
      </c>
      <c r="K23" s="3">
        <f t="shared" si="2"/>
        <v>0.67351969426727187</v>
      </c>
      <c r="L23" s="3">
        <f t="shared" si="3"/>
        <v>0.49642490784466548</v>
      </c>
      <c r="M23" s="3">
        <f t="shared" si="4"/>
        <v>0.48285852245292127</v>
      </c>
    </row>
    <row r="24" spans="1:13" x14ac:dyDescent="0.15">
      <c r="A24" s="5">
        <v>43556</v>
      </c>
      <c r="B24" s="6">
        <v>122.77</v>
      </c>
      <c r="C24" s="6">
        <v>2867.1938893137999</v>
      </c>
      <c r="D24" s="6">
        <v>661.14180796032508</v>
      </c>
      <c r="E24" s="4">
        <v>103.64</v>
      </c>
      <c r="F24" s="9">
        <v>68.3</v>
      </c>
      <c r="H24" s="1">
        <v>43556</v>
      </c>
      <c r="I24" s="3">
        <f t="shared" si="0"/>
        <v>-0.91202582728007242</v>
      </c>
      <c r="J24" s="3">
        <f t="shared" si="1"/>
        <v>-0.35016049022469958</v>
      </c>
      <c r="K24" s="3">
        <f t="shared" si="2"/>
        <v>1.1570022518405629</v>
      </c>
      <c r="L24" s="3">
        <f t="shared" si="3"/>
        <v>-0.42133149054431362</v>
      </c>
      <c r="M24" s="3">
        <f t="shared" si="4"/>
        <v>-0.39404132628543642</v>
      </c>
    </row>
    <row r="25" spans="1:13" x14ac:dyDescent="0.15">
      <c r="A25" s="5">
        <v>43557</v>
      </c>
      <c r="B25" s="6">
        <v>122.65</v>
      </c>
      <c r="C25" s="6">
        <v>2867.2364436299208</v>
      </c>
      <c r="D25" s="6">
        <v>661.45485269871403</v>
      </c>
      <c r="E25" s="4">
        <v>103.75</v>
      </c>
      <c r="F25" s="9">
        <v>68.37</v>
      </c>
      <c r="H25" s="1">
        <v>43557</v>
      </c>
      <c r="I25" s="3">
        <f t="shared" si="0"/>
        <v>-9.774374847274607E-2</v>
      </c>
      <c r="J25" s="3">
        <f t="shared" si="1"/>
        <v>0.10248901903368579</v>
      </c>
      <c r="K25" s="3">
        <f t="shared" si="2"/>
        <v>1.484179925170595E-3</v>
      </c>
      <c r="L25" s="3">
        <f t="shared" si="3"/>
        <v>4.7349106442794935E-2</v>
      </c>
      <c r="M25" s="3">
        <f t="shared" si="4"/>
        <v>0.10613662678502454</v>
      </c>
    </row>
    <row r="26" spans="1:13" x14ac:dyDescent="0.15">
      <c r="A26" s="5">
        <v>43558</v>
      </c>
      <c r="B26" s="6">
        <v>121.77</v>
      </c>
      <c r="C26" s="6">
        <v>2873.3991482144502</v>
      </c>
      <c r="D26" s="6">
        <v>659.8205545060938</v>
      </c>
      <c r="E26" s="4">
        <v>103.69</v>
      </c>
      <c r="F26" s="9">
        <v>67.819999999999993</v>
      </c>
      <c r="H26" s="1">
        <v>43558</v>
      </c>
      <c r="I26" s="3">
        <f t="shared" si="0"/>
        <v>-0.71748878923767601</v>
      </c>
      <c r="J26" s="3">
        <f t="shared" si="1"/>
        <v>-0.80444639461753875</v>
      </c>
      <c r="K26" s="3">
        <f t="shared" si="2"/>
        <v>0.21493534648043822</v>
      </c>
      <c r="L26" s="3">
        <f t="shared" si="3"/>
        <v>-0.24707630247965567</v>
      </c>
      <c r="M26" s="3">
        <f t="shared" si="4"/>
        <v>-5.7831325301207007E-2</v>
      </c>
    </row>
    <row r="27" spans="1:13" x14ac:dyDescent="0.15">
      <c r="A27" s="5">
        <v>43559</v>
      </c>
      <c r="B27" s="6">
        <v>121.99</v>
      </c>
      <c r="C27" s="6">
        <v>2879.3907805172871</v>
      </c>
      <c r="D27" s="6">
        <v>658.69541538863143</v>
      </c>
      <c r="E27" s="4">
        <v>103.43</v>
      </c>
      <c r="F27" s="9">
        <v>67.55</v>
      </c>
      <c r="H27" s="1">
        <v>43559</v>
      </c>
      <c r="I27" s="3">
        <f t="shared" si="0"/>
        <v>0.18066847335139927</v>
      </c>
      <c r="J27" s="3">
        <f t="shared" si="1"/>
        <v>-0.39811265113535244</v>
      </c>
      <c r="K27" s="3">
        <f t="shared" si="2"/>
        <v>0.20852070992504382</v>
      </c>
      <c r="L27" s="3">
        <f t="shared" si="3"/>
        <v>-0.17052198658839696</v>
      </c>
      <c r="M27" s="3">
        <f t="shared" si="4"/>
        <v>-0.25074742019480267</v>
      </c>
    </row>
    <row r="28" spans="1:13" x14ac:dyDescent="0.15">
      <c r="A28" s="5">
        <v>43560</v>
      </c>
      <c r="B28" s="6">
        <v>121.92</v>
      </c>
      <c r="C28" s="6">
        <v>2892.7443971570365</v>
      </c>
      <c r="D28" s="6">
        <v>659.66761061421676</v>
      </c>
      <c r="E28" s="4">
        <v>103.65</v>
      </c>
      <c r="F28" s="9">
        <v>67.92</v>
      </c>
      <c r="H28" s="1">
        <v>43560</v>
      </c>
      <c r="I28" s="3">
        <f t="shared" si="0"/>
        <v>-5.7381752602666765E-2</v>
      </c>
      <c r="J28" s="3">
        <f t="shared" si="1"/>
        <v>0.5477424130273939</v>
      </c>
      <c r="K28" s="3">
        <f t="shared" si="2"/>
        <v>0.46376534682626036</v>
      </c>
      <c r="L28" s="3">
        <f t="shared" si="3"/>
        <v>0.14759404769983514</v>
      </c>
      <c r="M28" s="3">
        <f t="shared" si="4"/>
        <v>0.21270424441651248</v>
      </c>
    </row>
    <row r="29" spans="1:13" x14ac:dyDescent="0.15">
      <c r="A29" s="5">
        <v>43563</v>
      </c>
      <c r="B29" s="6">
        <v>121.64</v>
      </c>
      <c r="C29" s="6">
        <v>2895.7705932558702</v>
      </c>
      <c r="D29" s="6">
        <v>664.68047717139837</v>
      </c>
      <c r="E29" s="4">
        <v>104.97</v>
      </c>
      <c r="F29" s="9">
        <v>68.02</v>
      </c>
      <c r="H29" s="1">
        <v>43563</v>
      </c>
      <c r="I29" s="3">
        <f t="shared" si="0"/>
        <v>-0.2296587926509196</v>
      </c>
      <c r="J29" s="3">
        <f t="shared" si="1"/>
        <v>0.14723203769139329</v>
      </c>
      <c r="K29" s="3">
        <f t="shared" si="2"/>
        <v>0.10461332504205342</v>
      </c>
      <c r="L29" s="3">
        <f t="shared" si="3"/>
        <v>0.75990794098775416</v>
      </c>
      <c r="M29" s="3">
        <f t="shared" si="4"/>
        <v>1.2735166425470266</v>
      </c>
    </row>
    <row r="30" spans="1:13" x14ac:dyDescent="0.15">
      <c r="A30" s="5">
        <v>43564</v>
      </c>
      <c r="B30" s="6">
        <v>121.34</v>
      </c>
      <c r="C30" s="6">
        <v>2878.2006311820792</v>
      </c>
      <c r="D30" s="6">
        <v>663.52036944712859</v>
      </c>
      <c r="E30" s="4">
        <v>104.66</v>
      </c>
      <c r="F30" s="9">
        <v>68.11</v>
      </c>
      <c r="H30" s="1">
        <v>43564</v>
      </c>
      <c r="I30" s="3">
        <f t="shared" si="0"/>
        <v>-0.24662939822426599</v>
      </c>
      <c r="J30" s="3">
        <f t="shared" si="1"/>
        <v>0.13231402528668543</v>
      </c>
      <c r="K30" s="3">
        <f t="shared" si="2"/>
        <v>-0.60674564879934523</v>
      </c>
      <c r="L30" s="3">
        <f t="shared" si="3"/>
        <v>-0.17453615144628754</v>
      </c>
      <c r="M30" s="3">
        <f t="shared" si="4"/>
        <v>-0.295322473087551</v>
      </c>
    </row>
    <row r="31" spans="1:13" x14ac:dyDescent="0.15">
      <c r="A31" s="5">
        <v>43565</v>
      </c>
      <c r="B31" s="6">
        <v>121.66</v>
      </c>
      <c r="C31" s="6">
        <v>2888.2104169608015</v>
      </c>
      <c r="D31" s="6">
        <v>663.92822205461414</v>
      </c>
      <c r="E31" s="4">
        <v>104.65</v>
      </c>
      <c r="F31" s="9">
        <v>68.11</v>
      </c>
      <c r="H31" s="1">
        <v>43565</v>
      </c>
      <c r="I31" s="3">
        <f t="shared" si="0"/>
        <v>0.26372177352892134</v>
      </c>
      <c r="J31" s="3">
        <f t="shared" si="1"/>
        <v>0</v>
      </c>
      <c r="K31" s="3">
        <f t="shared" si="2"/>
        <v>0.34777929204369823</v>
      </c>
      <c r="L31" s="3">
        <f t="shared" si="3"/>
        <v>6.1467985952773481E-2</v>
      </c>
      <c r="M31" s="3">
        <f t="shared" si="4"/>
        <v>-9.5547487101002339E-3</v>
      </c>
    </row>
    <row r="32" spans="1:13" x14ac:dyDescent="0.15">
      <c r="A32" s="5">
        <v>43566</v>
      </c>
      <c r="B32" s="6">
        <v>122.57</v>
      </c>
      <c r="C32" s="6">
        <v>2888.3194535660746</v>
      </c>
      <c r="D32" s="6">
        <v>665.35824336731355</v>
      </c>
      <c r="E32" s="4">
        <v>104.75</v>
      </c>
      <c r="F32" s="9">
        <v>68.09</v>
      </c>
      <c r="H32" s="1">
        <v>43566</v>
      </c>
      <c r="I32" s="3">
        <f t="shared" si="0"/>
        <v>0.74798619102416297</v>
      </c>
      <c r="J32" s="3">
        <f t="shared" si="1"/>
        <v>-2.9364263691082106E-2</v>
      </c>
      <c r="K32" s="3">
        <f t="shared" si="2"/>
        <v>3.7752306630013804E-3</v>
      </c>
      <c r="L32" s="3">
        <f t="shared" si="3"/>
        <v>0.21538793881573801</v>
      </c>
      <c r="M32" s="3">
        <f t="shared" si="4"/>
        <v>9.5556617295742288E-2</v>
      </c>
    </row>
    <row r="33" spans="1:13" x14ac:dyDescent="0.15">
      <c r="A33" s="5">
        <v>43567</v>
      </c>
      <c r="B33" s="6">
        <v>123.18</v>
      </c>
      <c r="C33" s="6">
        <v>2907.4143830768035</v>
      </c>
      <c r="D33" s="6">
        <v>668.07762598212332</v>
      </c>
      <c r="E33" s="4">
        <v>105.06</v>
      </c>
      <c r="F33" s="9">
        <v>68.77</v>
      </c>
      <c r="H33" s="1">
        <v>43567</v>
      </c>
      <c r="I33" s="3">
        <f t="shared" si="0"/>
        <v>0.49767479807458076</v>
      </c>
      <c r="J33" s="3">
        <f t="shared" si="1"/>
        <v>0.99867822000292639</v>
      </c>
      <c r="K33" s="3">
        <f t="shared" si="2"/>
        <v>0.66110864181430007</v>
      </c>
      <c r="L33" s="3">
        <f t="shared" si="3"/>
        <v>0.40870953984837438</v>
      </c>
      <c r="M33" s="3">
        <f t="shared" si="4"/>
        <v>0.2959427207637253</v>
      </c>
    </row>
    <row r="34" spans="1:13" x14ac:dyDescent="0.15">
      <c r="A34" s="5">
        <v>43570</v>
      </c>
      <c r="B34" s="6">
        <v>123</v>
      </c>
      <c r="C34" s="6">
        <v>2905.5832738591421</v>
      </c>
      <c r="D34" s="6">
        <v>670.40007861993513</v>
      </c>
      <c r="E34" s="4">
        <v>105.73</v>
      </c>
      <c r="F34" s="9">
        <v>68.709999999999994</v>
      </c>
      <c r="H34" s="1">
        <v>43570</v>
      </c>
      <c r="I34" s="3">
        <f t="shared" si="0"/>
        <v>-0.14612761811983016</v>
      </c>
      <c r="J34" s="3">
        <f t="shared" si="1"/>
        <v>-8.7247346226555583E-2</v>
      </c>
      <c r="K34" s="3">
        <f t="shared" si="2"/>
        <v>-6.2980675486773469E-2</v>
      </c>
      <c r="L34" s="3">
        <f t="shared" si="3"/>
        <v>0.3476321534339113</v>
      </c>
      <c r="M34" s="3">
        <f t="shared" si="4"/>
        <v>0.6377308204835348</v>
      </c>
    </row>
    <row r="35" spans="1:13" x14ac:dyDescent="0.15">
      <c r="A35" s="5">
        <v>43571</v>
      </c>
      <c r="B35" s="6">
        <v>123.32</v>
      </c>
      <c r="C35" s="6">
        <v>2907.0575482500794</v>
      </c>
      <c r="D35" s="6">
        <v>673.3887756418319</v>
      </c>
      <c r="E35" s="4">
        <v>106.42</v>
      </c>
      <c r="F35" s="9">
        <v>69.040000000000006</v>
      </c>
      <c r="H35" s="1">
        <v>43571</v>
      </c>
      <c r="I35" s="3">
        <f t="shared" si="0"/>
        <v>0.26016260162601068</v>
      </c>
      <c r="J35" s="3">
        <f t="shared" si="1"/>
        <v>0.48027943530783374</v>
      </c>
      <c r="K35" s="3">
        <f t="shared" si="2"/>
        <v>5.0739361153440597E-2</v>
      </c>
      <c r="L35" s="3">
        <f t="shared" si="3"/>
        <v>0.44580797604457445</v>
      </c>
      <c r="M35" s="3">
        <f t="shared" si="4"/>
        <v>0.65260569374822441</v>
      </c>
    </row>
    <row r="36" spans="1:13" x14ac:dyDescent="0.15">
      <c r="A36" s="5">
        <v>43572</v>
      </c>
      <c r="B36" s="6">
        <v>123.45</v>
      </c>
      <c r="C36" s="6">
        <v>2900.4531359849407</v>
      </c>
      <c r="D36" s="6">
        <v>670.75729982318069</v>
      </c>
      <c r="E36" s="4">
        <v>105.85</v>
      </c>
      <c r="F36" s="9">
        <v>68.680000000000007</v>
      </c>
      <c r="H36" s="1">
        <v>43572</v>
      </c>
      <c r="I36" s="3">
        <f t="shared" si="0"/>
        <v>0.10541680181642044</v>
      </c>
      <c r="J36" s="3">
        <f t="shared" si="1"/>
        <v>-0.52143684820393887</v>
      </c>
      <c r="K36" s="3">
        <f t="shared" si="2"/>
        <v>-0.2271854669376713</v>
      </c>
      <c r="L36" s="3">
        <f t="shared" si="3"/>
        <v>-0.39078106345670127</v>
      </c>
      <c r="M36" s="3">
        <f t="shared" si="4"/>
        <v>-0.53561360646495715</v>
      </c>
    </row>
    <row r="37" spans="1:13" x14ac:dyDescent="0.15">
      <c r="A37" s="5">
        <v>43573</v>
      </c>
      <c r="B37" s="6">
        <v>123.55</v>
      </c>
      <c r="C37" s="6">
        <v>2905.0325202007193</v>
      </c>
      <c r="D37" s="6">
        <v>672.77611245357434</v>
      </c>
      <c r="E37" s="4">
        <v>106.05</v>
      </c>
      <c r="F37" s="9">
        <v>69.349999999999994</v>
      </c>
      <c r="H37" s="1">
        <v>43573</v>
      </c>
      <c r="I37" s="3">
        <f t="shared" si="0"/>
        <v>8.1004455245033871E-2</v>
      </c>
      <c r="J37" s="3">
        <f t="shared" si="1"/>
        <v>0.97553873034360428</v>
      </c>
      <c r="K37" s="3">
        <f t="shared" si="2"/>
        <v>0.15788513039441235</v>
      </c>
      <c r="L37" s="3">
        <f t="shared" si="3"/>
        <v>0.30097512631257778</v>
      </c>
      <c r="M37" s="3">
        <f t="shared" si="4"/>
        <v>0.18894662257912409</v>
      </c>
    </row>
    <row r="38" spans="1:13" x14ac:dyDescent="0.15">
      <c r="A38" s="5">
        <v>43577</v>
      </c>
      <c r="B38" s="6">
        <v>130.25</v>
      </c>
      <c r="C38" s="6">
        <v>2907.9726774288615</v>
      </c>
      <c r="D38" s="6">
        <v>676.98337015407287</v>
      </c>
      <c r="E38" s="4">
        <v>106.01</v>
      </c>
      <c r="F38" s="9">
        <v>69.599999999999994</v>
      </c>
      <c r="H38" s="1">
        <v>43577</v>
      </c>
      <c r="I38" s="3">
        <f t="shared" si="0"/>
        <v>5.4229057061918269</v>
      </c>
      <c r="J38" s="3">
        <f t="shared" si="1"/>
        <v>0.36049026676279744</v>
      </c>
      <c r="K38" s="3">
        <f t="shared" si="2"/>
        <v>0.10120909861411986</v>
      </c>
      <c r="L38" s="3">
        <f t="shared" si="3"/>
        <v>0.62535777097598078</v>
      </c>
      <c r="M38" s="3">
        <f t="shared" si="4"/>
        <v>-3.771805752003022E-2</v>
      </c>
    </row>
    <row r="39" spans="1:13" x14ac:dyDescent="0.15">
      <c r="A39" s="5">
        <v>43578</v>
      </c>
      <c r="B39" s="6">
        <v>125.62</v>
      </c>
      <c r="C39" s="6">
        <v>2933.675818466224</v>
      </c>
      <c r="D39" s="6">
        <v>661.32772142888859</v>
      </c>
      <c r="E39" s="4">
        <v>103.16</v>
      </c>
      <c r="F39" s="9">
        <v>69.010000000000005</v>
      </c>
      <c r="H39" s="1">
        <v>43578</v>
      </c>
      <c r="I39" s="3">
        <f t="shared" si="0"/>
        <v>-3.5547024952015316</v>
      </c>
      <c r="J39" s="3">
        <f t="shared" si="1"/>
        <v>-0.84770114942527197</v>
      </c>
      <c r="K39" s="3">
        <f t="shared" si="2"/>
        <v>0.88388523168960353</v>
      </c>
      <c r="L39" s="3">
        <f t="shared" si="3"/>
        <v>-2.3125603102512327</v>
      </c>
      <c r="M39" s="3">
        <f t="shared" si="4"/>
        <v>-2.6884256202245149</v>
      </c>
    </row>
    <row r="40" spans="1:13" x14ac:dyDescent="0.15">
      <c r="A40" s="5">
        <v>43579</v>
      </c>
      <c r="B40" s="6">
        <v>124.4</v>
      </c>
      <c r="C40" s="6">
        <v>2927.252365084114</v>
      </c>
      <c r="D40" s="6">
        <v>662.69751482785807</v>
      </c>
      <c r="E40" s="4">
        <v>103.69</v>
      </c>
      <c r="F40" s="9">
        <v>68.86</v>
      </c>
      <c r="H40" s="1">
        <v>43579</v>
      </c>
      <c r="I40" s="3">
        <f t="shared" si="0"/>
        <v>-0.97118293265403499</v>
      </c>
      <c r="J40" s="3">
        <f t="shared" si="1"/>
        <v>-0.21735980292712023</v>
      </c>
      <c r="K40" s="3">
        <f t="shared" si="2"/>
        <v>-0.21895580083106367</v>
      </c>
      <c r="L40" s="3">
        <f t="shared" si="3"/>
        <v>0.20712777562232723</v>
      </c>
      <c r="M40" s="3">
        <f t="shared" si="4"/>
        <v>0.51376502520356837</v>
      </c>
    </row>
    <row r="41" spans="1:13" x14ac:dyDescent="0.15">
      <c r="A41" s="5">
        <v>43580</v>
      </c>
      <c r="B41" s="6">
        <v>124.01</v>
      </c>
      <c r="C41" s="6">
        <v>2926.1730754066452</v>
      </c>
      <c r="D41" s="6">
        <v>660.76354968068699</v>
      </c>
      <c r="E41" s="4">
        <v>103.28</v>
      </c>
      <c r="F41" s="9">
        <v>68.69</v>
      </c>
      <c r="H41" s="1">
        <v>43580</v>
      </c>
      <c r="I41" s="3">
        <f t="shared" si="0"/>
        <v>-0.31350482315112588</v>
      </c>
      <c r="J41" s="3">
        <f t="shared" si="1"/>
        <v>-0.24687772291606408</v>
      </c>
      <c r="K41" s="3">
        <f t="shared" si="2"/>
        <v>-3.6870400732863955E-2</v>
      </c>
      <c r="L41" s="3">
        <f t="shared" si="3"/>
        <v>-0.29183226191416228</v>
      </c>
      <c r="M41" s="3">
        <f t="shared" si="4"/>
        <v>-0.39540939338412245</v>
      </c>
    </row>
    <row r="42" spans="1:13" x14ac:dyDescent="0.15">
      <c r="A42" s="5">
        <v>43581</v>
      </c>
      <c r="B42" s="6">
        <v>125.74</v>
      </c>
      <c r="C42" s="6">
        <v>2939.8816692537521</v>
      </c>
      <c r="D42" s="6">
        <v>677.01341791689845</v>
      </c>
      <c r="E42" s="4">
        <v>105.86</v>
      </c>
      <c r="F42" s="9">
        <v>71.3</v>
      </c>
      <c r="H42" s="1">
        <v>43581</v>
      </c>
      <c r="I42" s="3">
        <f t="shared" si="0"/>
        <v>1.3950487863881862</v>
      </c>
      <c r="J42" s="3">
        <f t="shared" si="1"/>
        <v>3.7996797204833301</v>
      </c>
      <c r="K42" s="3">
        <f t="shared" si="2"/>
        <v>0.46848198974702759</v>
      </c>
      <c r="L42" s="3">
        <f t="shared" si="3"/>
        <v>2.4592561505646278</v>
      </c>
      <c r="M42" s="3">
        <f t="shared" si="4"/>
        <v>2.498063516653755</v>
      </c>
    </row>
    <row r="43" spans="1:13" x14ac:dyDescent="0.15">
      <c r="A43" s="5">
        <v>43584</v>
      </c>
      <c r="B43" s="6">
        <v>125.25</v>
      </c>
      <c r="C43" s="6">
        <v>2943.026919667288</v>
      </c>
      <c r="D43" s="6">
        <v>671.97887940797852</v>
      </c>
      <c r="E43" s="4">
        <v>104.78</v>
      </c>
      <c r="F43" s="9">
        <v>71.38</v>
      </c>
      <c r="H43" s="1">
        <v>43584</v>
      </c>
      <c r="I43" s="3">
        <f t="shared" si="0"/>
        <v>-0.38969301733735873</v>
      </c>
      <c r="J43" s="3">
        <f t="shared" si="1"/>
        <v>0.11220196353435948</v>
      </c>
      <c r="K43" s="3">
        <f t="shared" si="2"/>
        <v>0.10698561259896841</v>
      </c>
      <c r="L43" s="3">
        <f t="shared" si="3"/>
        <v>-0.743639398523398</v>
      </c>
      <c r="M43" s="3">
        <f t="shared" si="4"/>
        <v>-1.0202153788021899</v>
      </c>
    </row>
    <row r="44" spans="1:13" x14ac:dyDescent="0.15">
      <c r="A44" s="5">
        <v>43585</v>
      </c>
      <c r="B44" s="6">
        <v>128.38</v>
      </c>
      <c r="C44" s="6">
        <v>2945.8308868458057</v>
      </c>
      <c r="D44" s="6">
        <v>684.02675194667461</v>
      </c>
      <c r="E44" s="4">
        <v>106.48</v>
      </c>
      <c r="F44" s="9">
        <v>72.790000000000006</v>
      </c>
      <c r="H44" s="1">
        <v>43585</v>
      </c>
      <c r="I44" s="3">
        <f t="shared" si="0"/>
        <v>2.4990019960079803</v>
      </c>
      <c r="J44" s="3">
        <f t="shared" si="1"/>
        <v>1.9753432333987262</v>
      </c>
      <c r="K44" s="3">
        <f t="shared" si="2"/>
        <v>9.5274941584112816E-2</v>
      </c>
      <c r="L44" s="3">
        <f t="shared" si="3"/>
        <v>1.7928945250943609</v>
      </c>
      <c r="M44" s="3">
        <f t="shared" si="4"/>
        <v>1.6224470318763149</v>
      </c>
    </row>
    <row r="45" spans="1:13" x14ac:dyDescent="0.15">
      <c r="A45" s="5">
        <v>43586</v>
      </c>
      <c r="B45" s="6">
        <v>125.47</v>
      </c>
      <c r="C45" s="6">
        <v>2923.7319381825055</v>
      </c>
      <c r="D45" s="6">
        <v>670.78919209146068</v>
      </c>
      <c r="E45" s="4">
        <v>104.93</v>
      </c>
      <c r="F45" s="9">
        <v>71.290000000000006</v>
      </c>
      <c r="H45" s="1">
        <v>43586</v>
      </c>
      <c r="I45" s="3">
        <f t="shared" si="0"/>
        <v>-2.2667082100015552</v>
      </c>
      <c r="J45" s="3">
        <f t="shared" si="1"/>
        <v>-2.0607226267344414</v>
      </c>
      <c r="K45" s="3">
        <f t="shared" si="2"/>
        <v>-0.75017709814843703</v>
      </c>
      <c r="L45" s="3">
        <f t="shared" si="3"/>
        <v>-1.9352400790672446</v>
      </c>
      <c r="M45" s="3">
        <f t="shared" si="4"/>
        <v>-1.4556724267468042</v>
      </c>
    </row>
    <row r="46" spans="1:13" x14ac:dyDescent="0.15">
      <c r="A46" s="5">
        <v>43587</v>
      </c>
      <c r="B46" s="6">
        <v>127.26</v>
      </c>
      <c r="C46" s="6">
        <v>2917.5163798788308</v>
      </c>
      <c r="D46" s="6">
        <v>675.72490625154228</v>
      </c>
      <c r="E46" s="4">
        <v>105.56</v>
      </c>
      <c r="F46" s="9">
        <v>71.819999999999993</v>
      </c>
      <c r="H46" s="1">
        <v>43587</v>
      </c>
      <c r="I46" s="3">
        <f t="shared" si="0"/>
        <v>1.4266358492069868</v>
      </c>
      <c r="J46" s="3">
        <f t="shared" si="1"/>
        <v>0.74344227801933915</v>
      </c>
      <c r="K46" s="3">
        <f t="shared" si="2"/>
        <v>-0.21258988289940517</v>
      </c>
      <c r="L46" s="3">
        <f t="shared" si="3"/>
        <v>0.73580704911068817</v>
      </c>
      <c r="M46" s="3">
        <f t="shared" si="4"/>
        <v>0.60040026684455872</v>
      </c>
    </row>
    <row r="47" spans="1:13" x14ac:dyDescent="0.15">
      <c r="A47" s="5">
        <v>43588</v>
      </c>
      <c r="B47" s="6">
        <v>127.5</v>
      </c>
      <c r="C47" s="6">
        <v>2945.6377901022634</v>
      </c>
      <c r="D47" s="6">
        <v>677.95688994080649</v>
      </c>
      <c r="E47" s="4">
        <v>106.08</v>
      </c>
      <c r="F47" s="9">
        <v>71.95</v>
      </c>
      <c r="H47" s="1">
        <v>43588</v>
      </c>
      <c r="I47" s="3">
        <f t="shared" si="0"/>
        <v>0.18859028760018456</v>
      </c>
      <c r="J47" s="3">
        <f t="shared" si="1"/>
        <v>0.18100807574493133</v>
      </c>
      <c r="K47" s="3">
        <f t="shared" si="2"/>
        <v>0.96388182830358282</v>
      </c>
      <c r="L47" s="3">
        <f t="shared" si="3"/>
        <v>0.33030951924589019</v>
      </c>
      <c r="M47" s="3">
        <f t="shared" si="4"/>
        <v>0.49261083743841982</v>
      </c>
    </row>
    <row r="48" spans="1:13" x14ac:dyDescent="0.15">
      <c r="A48" s="5">
        <v>43591</v>
      </c>
      <c r="B48" s="6">
        <v>127.9</v>
      </c>
      <c r="C48" s="6">
        <v>2932.4738490857135</v>
      </c>
      <c r="D48" s="6">
        <v>675.96822291231001</v>
      </c>
      <c r="E48" s="4">
        <v>105.68</v>
      </c>
      <c r="F48" s="9">
        <v>71.69</v>
      </c>
      <c r="H48" s="1">
        <v>43591</v>
      </c>
      <c r="I48" s="3">
        <f t="shared" si="0"/>
        <v>0.31372549019608287</v>
      </c>
      <c r="J48" s="3">
        <f t="shared" si="1"/>
        <v>-0.36136205698402374</v>
      </c>
      <c r="K48" s="3">
        <f t="shared" si="2"/>
        <v>-0.44689612079198848</v>
      </c>
      <c r="L48" s="3">
        <f t="shared" si="3"/>
        <v>-0.29333237230911735</v>
      </c>
      <c r="M48" s="3">
        <f t="shared" si="4"/>
        <v>-0.37707390648566319</v>
      </c>
    </row>
    <row r="49" spans="1:13" x14ac:dyDescent="0.15">
      <c r="A49" s="5">
        <v>43592</v>
      </c>
      <c r="B49" s="6">
        <v>126.18</v>
      </c>
      <c r="C49" s="6">
        <v>2884.0503077962385</v>
      </c>
      <c r="D49" s="6">
        <v>668.87860955311885</v>
      </c>
      <c r="E49" s="4">
        <v>104.7</v>
      </c>
      <c r="F49" s="9">
        <v>70.510000000000005</v>
      </c>
      <c r="H49" s="1">
        <v>43592</v>
      </c>
      <c r="I49" s="3">
        <f t="shared" si="0"/>
        <v>-1.344800625488662</v>
      </c>
      <c r="J49" s="3">
        <f t="shared" si="1"/>
        <v>-1.645975728832463</v>
      </c>
      <c r="K49" s="3">
        <f t="shared" si="2"/>
        <v>-1.6512863807659355</v>
      </c>
      <c r="L49" s="3">
        <f t="shared" si="3"/>
        <v>-1.0488086745626299</v>
      </c>
      <c r="M49" s="3">
        <f t="shared" si="4"/>
        <v>-0.92732778198334964</v>
      </c>
    </row>
    <row r="50" spans="1:13" x14ac:dyDescent="0.15">
      <c r="A50" s="5">
        <v>43593</v>
      </c>
      <c r="B50" s="6">
        <v>126.89</v>
      </c>
      <c r="C50" s="6">
        <v>2879.4196417361914</v>
      </c>
      <c r="D50" s="6">
        <v>671.70566278842364</v>
      </c>
      <c r="E50" s="4">
        <v>105.07</v>
      </c>
      <c r="F50" s="9">
        <v>70.989999999999995</v>
      </c>
      <c r="H50" s="1">
        <v>43593</v>
      </c>
      <c r="I50" s="3">
        <f t="shared" si="0"/>
        <v>0.56268822317323963</v>
      </c>
      <c r="J50" s="3">
        <f t="shared" si="1"/>
        <v>0.68075450290737438</v>
      </c>
      <c r="K50" s="3">
        <f t="shared" si="2"/>
        <v>-0.16056120961307083</v>
      </c>
      <c r="L50" s="3">
        <f t="shared" si="3"/>
        <v>0.42265565005787176</v>
      </c>
      <c r="M50" s="3">
        <f t="shared" si="4"/>
        <v>0.35339063992358194</v>
      </c>
    </row>
    <row r="51" spans="1:13" x14ac:dyDescent="0.15">
      <c r="A51" s="5">
        <v>43594</v>
      </c>
      <c r="B51" s="6">
        <v>126.4</v>
      </c>
      <c r="C51" s="6">
        <v>2870.7170957245125</v>
      </c>
      <c r="D51" s="6">
        <v>667.16810985761788</v>
      </c>
      <c r="E51" s="4">
        <v>104.24</v>
      </c>
      <c r="F51" s="9">
        <v>70.849999999999994</v>
      </c>
      <c r="H51" s="1">
        <v>43594</v>
      </c>
      <c r="I51" s="3">
        <f t="shared" si="0"/>
        <v>-0.38616124202064378</v>
      </c>
      <c r="J51" s="3">
        <f t="shared" si="1"/>
        <v>-0.19721087477109533</v>
      </c>
      <c r="K51" s="3">
        <f t="shared" si="2"/>
        <v>-0.30223264040914399</v>
      </c>
      <c r="L51" s="3">
        <f t="shared" si="3"/>
        <v>-0.675526972925791</v>
      </c>
      <c r="M51" s="3">
        <f t="shared" si="4"/>
        <v>-0.78994955743789697</v>
      </c>
    </row>
    <row r="52" spans="1:13" x14ac:dyDescent="0.15">
      <c r="A52" s="5">
        <v>43595</v>
      </c>
      <c r="B52" s="6">
        <v>127.44</v>
      </c>
      <c r="C52" s="6">
        <v>2881.4005103276745</v>
      </c>
      <c r="D52" s="6">
        <v>676.65201457457408</v>
      </c>
      <c r="E52" s="4">
        <v>106.01</v>
      </c>
      <c r="F52" s="9">
        <v>71.5</v>
      </c>
      <c r="H52" s="1">
        <v>43595</v>
      </c>
      <c r="I52" s="3">
        <f t="shared" si="0"/>
        <v>0.82278481012657589</v>
      </c>
      <c r="J52" s="3">
        <f t="shared" si="1"/>
        <v>0.9174311926605585</v>
      </c>
      <c r="K52" s="3">
        <f t="shared" si="2"/>
        <v>0.37215142582573713</v>
      </c>
      <c r="L52" s="3">
        <f t="shared" si="3"/>
        <v>1.4215164928941506</v>
      </c>
      <c r="M52" s="3">
        <f t="shared" si="4"/>
        <v>1.69800460475826</v>
      </c>
    </row>
    <row r="53" spans="1:13" x14ac:dyDescent="0.15">
      <c r="A53" s="5">
        <v>43598</v>
      </c>
      <c r="B53" s="6">
        <v>128.02000000000001</v>
      </c>
      <c r="C53" s="6">
        <v>2811.8654001004779</v>
      </c>
      <c r="D53" s="6">
        <v>677.84968913370926</v>
      </c>
      <c r="E53" s="4">
        <v>106.11</v>
      </c>
      <c r="F53" s="9">
        <v>71.56</v>
      </c>
      <c r="H53" s="1">
        <v>43598</v>
      </c>
      <c r="I53" s="3">
        <f t="shared" si="0"/>
        <v>0.45511613308224458</v>
      </c>
      <c r="J53" s="3">
        <f t="shared" si="1"/>
        <v>8.3916083916087097E-2</v>
      </c>
      <c r="K53" s="3">
        <f t="shared" si="2"/>
        <v>-2.4132400191491952</v>
      </c>
      <c r="L53" s="3">
        <f t="shared" si="3"/>
        <v>0.17700007290869949</v>
      </c>
      <c r="M53" s="3">
        <f t="shared" si="4"/>
        <v>9.4330723516643997E-2</v>
      </c>
    </row>
    <row r="54" spans="1:13" x14ac:dyDescent="0.15">
      <c r="A54" s="5">
        <v>43599</v>
      </c>
      <c r="B54" s="6">
        <v>127.55</v>
      </c>
      <c r="C54" s="6">
        <v>2834.4068001572468</v>
      </c>
      <c r="D54" s="6">
        <v>673.8839100104575</v>
      </c>
      <c r="E54" s="4">
        <v>105.6</v>
      </c>
      <c r="F54" s="9">
        <v>71.150000000000006</v>
      </c>
      <c r="H54" s="1">
        <v>43599</v>
      </c>
      <c r="I54" s="3">
        <f t="shared" si="0"/>
        <v>-0.36713013591627325</v>
      </c>
      <c r="J54" s="3">
        <f t="shared" si="1"/>
        <v>-0.5729457797652272</v>
      </c>
      <c r="K54" s="3">
        <f t="shared" si="2"/>
        <v>0.80165288338351559</v>
      </c>
      <c r="L54" s="3">
        <f t="shared" si="3"/>
        <v>-0.58505287924820359</v>
      </c>
      <c r="M54" s="3">
        <f t="shared" si="4"/>
        <v>-0.48063330506079077</v>
      </c>
    </row>
    <row r="55" spans="1:13" x14ac:dyDescent="0.15">
      <c r="A55" s="5">
        <v>43600</v>
      </c>
      <c r="B55" s="6">
        <v>128.66999999999999</v>
      </c>
      <c r="C55" s="6">
        <v>2850.9645340323104</v>
      </c>
      <c r="D55" s="6">
        <v>680.05899941465987</v>
      </c>
      <c r="E55" s="4">
        <v>106.7</v>
      </c>
      <c r="F55" s="9">
        <v>71.34</v>
      </c>
      <c r="H55" s="1">
        <v>43600</v>
      </c>
      <c r="I55" s="3">
        <f t="shared" si="0"/>
        <v>0.87808702469619004</v>
      </c>
      <c r="J55" s="3">
        <f t="shared" si="1"/>
        <v>0.26704146170062926</v>
      </c>
      <c r="K55" s="3">
        <f t="shared" si="2"/>
        <v>0.58416928276297586</v>
      </c>
      <c r="L55" s="3">
        <f t="shared" si="3"/>
        <v>0.91634320280870651</v>
      </c>
      <c r="M55" s="3">
        <f t="shared" si="4"/>
        <v>1.0416666666666747</v>
      </c>
    </row>
    <row r="56" spans="1:13" x14ac:dyDescent="0.15">
      <c r="A56" s="5">
        <v>43601</v>
      </c>
      <c r="B56" s="6">
        <v>128.72</v>
      </c>
      <c r="C56" s="6">
        <v>2876.3169278960177</v>
      </c>
      <c r="D56" s="6">
        <v>687.88438383243442</v>
      </c>
      <c r="E56" s="4">
        <v>108.11</v>
      </c>
      <c r="F56" s="9">
        <v>72.5</v>
      </c>
      <c r="H56" s="1">
        <v>43601</v>
      </c>
      <c r="I56" s="3">
        <f t="shared" si="0"/>
        <v>3.885909691459654E-2</v>
      </c>
      <c r="J56" s="3">
        <f t="shared" si="1"/>
        <v>1.6260162601625969</v>
      </c>
      <c r="K56" s="3">
        <f t="shared" si="2"/>
        <v>0.88925672561242386</v>
      </c>
      <c r="L56" s="3">
        <f t="shared" si="3"/>
        <v>1.1506919876819539</v>
      </c>
      <c r="M56" s="3">
        <f t="shared" si="4"/>
        <v>1.3214620431115245</v>
      </c>
    </row>
    <row r="57" spans="1:13" x14ac:dyDescent="0.15">
      <c r="A57" s="5">
        <v>43602</v>
      </c>
      <c r="B57" s="6">
        <v>128.93</v>
      </c>
      <c r="C57" s="6">
        <v>2859.5323467116914</v>
      </c>
      <c r="D57" s="6">
        <v>684.06186895490964</v>
      </c>
      <c r="E57" s="4">
        <v>107.45</v>
      </c>
      <c r="F57" s="9">
        <v>71.97</v>
      </c>
      <c r="H57" s="1">
        <v>43602</v>
      </c>
      <c r="I57" s="3">
        <f t="shared" si="0"/>
        <v>0.16314481044127405</v>
      </c>
      <c r="J57" s="3">
        <f t="shared" si="1"/>
        <v>-0.73103448275862226</v>
      </c>
      <c r="K57" s="3">
        <f t="shared" si="2"/>
        <v>-0.58354422009413054</v>
      </c>
      <c r="L57" s="3">
        <f t="shared" si="3"/>
        <v>-0.55569147481271064</v>
      </c>
      <c r="M57" s="3">
        <f t="shared" si="4"/>
        <v>-0.61048931643695914</v>
      </c>
    </row>
    <row r="58" spans="1:13" x14ac:dyDescent="0.15">
      <c r="A58" s="5">
        <v>43605</v>
      </c>
      <c r="B58" s="6">
        <v>130.11000000000001</v>
      </c>
      <c r="C58" s="6">
        <v>2840.2331323810981</v>
      </c>
      <c r="D58" s="6">
        <v>683.81863964571471</v>
      </c>
      <c r="E58" s="4">
        <v>107.33</v>
      </c>
      <c r="F58" s="9">
        <v>71.7</v>
      </c>
      <c r="H58" s="1">
        <v>43605</v>
      </c>
      <c r="I58" s="3">
        <f t="shared" si="0"/>
        <v>0.91522531606298518</v>
      </c>
      <c r="J58" s="3">
        <f t="shared" si="1"/>
        <v>-0.37515631513129921</v>
      </c>
      <c r="K58" s="3">
        <f t="shared" si="2"/>
        <v>-0.67490806155021532</v>
      </c>
      <c r="L58" s="3">
        <f t="shared" si="3"/>
        <v>-3.5556624368864372E-2</v>
      </c>
      <c r="M58" s="3">
        <f t="shared" si="4"/>
        <v>-0.11167985109353611</v>
      </c>
    </row>
    <row r="59" spans="1:13" x14ac:dyDescent="0.15">
      <c r="A59" s="5">
        <v>43606</v>
      </c>
      <c r="B59" s="6">
        <v>130.08000000000001</v>
      </c>
      <c r="C59" s="6">
        <v>2864.3594093680108</v>
      </c>
      <c r="D59" s="6">
        <v>679.89605253974162</v>
      </c>
      <c r="E59" s="4">
        <v>106.37</v>
      </c>
      <c r="F59" s="9">
        <v>71.53</v>
      </c>
      <c r="H59" s="1">
        <v>43606</v>
      </c>
      <c r="I59" s="3">
        <f t="shared" si="0"/>
        <v>-2.3057412958266955E-2</v>
      </c>
      <c r="J59" s="3">
        <f t="shared" si="1"/>
        <v>-0.23709902370990474</v>
      </c>
      <c r="K59" s="3">
        <f t="shared" si="2"/>
        <v>0.84944706516702395</v>
      </c>
      <c r="L59" s="3">
        <f t="shared" si="3"/>
        <v>-0.57362974311513049</v>
      </c>
      <c r="M59" s="3">
        <f t="shared" si="4"/>
        <v>-0.89443771545699591</v>
      </c>
    </row>
    <row r="60" spans="1:13" x14ac:dyDescent="0.15">
      <c r="A60" s="5">
        <v>43607</v>
      </c>
      <c r="B60" s="6">
        <v>130.97999999999999</v>
      </c>
      <c r="C60" s="6">
        <v>2856.2741510342721</v>
      </c>
      <c r="D60" s="6">
        <v>682.43516366167466</v>
      </c>
      <c r="E60" s="4">
        <v>106.72</v>
      </c>
      <c r="F60" s="9">
        <v>71.53</v>
      </c>
      <c r="H60" s="1">
        <v>43607</v>
      </c>
      <c r="I60" s="3">
        <f t="shared" si="0"/>
        <v>0.69188191881917072</v>
      </c>
      <c r="J60" s="3">
        <f t="shared" si="1"/>
        <v>0</v>
      </c>
      <c r="K60" s="3">
        <f t="shared" si="2"/>
        <v>-0.28227108327591527</v>
      </c>
      <c r="L60" s="3">
        <f t="shared" si="3"/>
        <v>0.37345578231381621</v>
      </c>
      <c r="M60" s="3">
        <f t="shared" si="4"/>
        <v>0.32904014289742811</v>
      </c>
    </row>
    <row r="61" spans="1:13" x14ac:dyDescent="0.15">
      <c r="A61" s="5">
        <v>43608</v>
      </c>
      <c r="B61" s="6">
        <v>130.91</v>
      </c>
      <c r="C61" s="6">
        <v>2822.2409559279745</v>
      </c>
      <c r="D61" s="6">
        <v>683.35969748627429</v>
      </c>
      <c r="E61" s="4">
        <v>106.76</v>
      </c>
      <c r="F61" s="9">
        <v>71.75</v>
      </c>
      <c r="H61" s="1">
        <v>43608</v>
      </c>
      <c r="I61" s="3">
        <f t="shared" si="0"/>
        <v>-5.3443273782251624E-2</v>
      </c>
      <c r="J61" s="3">
        <f t="shared" si="1"/>
        <v>0.30756326017055624</v>
      </c>
      <c r="K61" s="3">
        <f t="shared" si="2"/>
        <v>-1.1915241082153833</v>
      </c>
      <c r="L61" s="3">
        <f t="shared" si="3"/>
        <v>0.13547570140420981</v>
      </c>
      <c r="M61" s="3">
        <f t="shared" si="4"/>
        <v>3.7481259370320701E-2</v>
      </c>
    </row>
    <row r="62" spans="1:13" x14ac:dyDescent="0.15">
      <c r="A62" s="5">
        <v>43609</v>
      </c>
      <c r="B62" s="6">
        <v>130.63</v>
      </c>
      <c r="C62" s="6">
        <v>2826.0646864961</v>
      </c>
      <c r="D62" s="6">
        <v>681.66501751902331</v>
      </c>
      <c r="E62" s="4">
        <v>106.69</v>
      </c>
      <c r="F62" s="9">
        <v>71.2</v>
      </c>
      <c r="H62" s="1">
        <v>43609</v>
      </c>
      <c r="I62" s="3">
        <f t="shared" si="0"/>
        <v>-0.2138874035596984</v>
      </c>
      <c r="J62" s="3">
        <f t="shared" si="1"/>
        <v>-0.76655052264807966</v>
      </c>
      <c r="K62" s="3">
        <f t="shared" si="2"/>
        <v>0.1354856168497566</v>
      </c>
      <c r="L62" s="3">
        <f t="shared" si="3"/>
        <v>-0.24799237846259078</v>
      </c>
      <c r="M62" s="3">
        <f t="shared" si="4"/>
        <v>-6.5567628325222352E-2</v>
      </c>
    </row>
    <row r="63" spans="1:13" x14ac:dyDescent="0.15">
      <c r="A63" s="5">
        <v>43613</v>
      </c>
      <c r="B63" s="6">
        <v>128.62</v>
      </c>
      <c r="C63" s="6">
        <v>2802.3852184126117</v>
      </c>
      <c r="D63" s="6">
        <v>668.44400290461829</v>
      </c>
      <c r="E63" s="4">
        <v>104.46</v>
      </c>
      <c r="F63" s="9">
        <v>70.11</v>
      </c>
      <c r="H63" s="1">
        <v>43613</v>
      </c>
      <c r="I63" s="3">
        <f t="shared" si="0"/>
        <v>-1.5386970833652232</v>
      </c>
      <c r="J63" s="3">
        <f t="shared" si="1"/>
        <v>-1.5308988764044991</v>
      </c>
      <c r="K63" s="3">
        <f t="shared" si="2"/>
        <v>-0.83789547339934622</v>
      </c>
      <c r="L63" s="3">
        <f t="shared" si="3"/>
        <v>-1.9395178386187408</v>
      </c>
      <c r="M63" s="3">
        <f t="shared" si="4"/>
        <v>-2.0901677757990478</v>
      </c>
    </row>
    <row r="64" spans="1:13" x14ac:dyDescent="0.15">
      <c r="A64" s="5">
        <v>43614</v>
      </c>
      <c r="B64" s="6">
        <v>128.41999999999999</v>
      </c>
      <c r="C64" s="6">
        <v>2783.0183224371567</v>
      </c>
      <c r="D64" s="6">
        <v>667.24417681518116</v>
      </c>
      <c r="E64" s="4">
        <v>104.19</v>
      </c>
      <c r="F64" s="9">
        <v>69.97</v>
      </c>
      <c r="H64" s="1">
        <v>43614</v>
      </c>
      <c r="I64" s="3">
        <f t="shared" si="0"/>
        <v>-0.15549681231536078</v>
      </c>
      <c r="J64" s="3">
        <f t="shared" si="1"/>
        <v>-0.19968620738839049</v>
      </c>
      <c r="K64" s="3">
        <f t="shared" si="2"/>
        <v>-0.69108614505272148</v>
      </c>
      <c r="L64" s="3">
        <f t="shared" si="3"/>
        <v>-0.17949537795588991</v>
      </c>
      <c r="M64" s="3">
        <f t="shared" si="4"/>
        <v>-0.25847214244686578</v>
      </c>
    </row>
    <row r="65" spans="1:13" x14ac:dyDescent="0.15">
      <c r="A65" s="5">
        <v>43615</v>
      </c>
      <c r="B65" s="6">
        <v>130.22</v>
      </c>
      <c r="C65" s="6">
        <v>2788.8649306177908</v>
      </c>
      <c r="D65" s="6">
        <v>675.3520630724579</v>
      </c>
      <c r="E65" s="4">
        <v>105.33</v>
      </c>
      <c r="F65" s="9">
        <v>70.849999999999994</v>
      </c>
      <c r="H65" s="1">
        <v>43615</v>
      </c>
      <c r="I65" s="3">
        <f t="shared" si="0"/>
        <v>1.40165083320356</v>
      </c>
      <c r="J65" s="3">
        <f t="shared" si="1"/>
        <v>1.257681863655846</v>
      </c>
      <c r="K65" s="3">
        <f t="shared" si="2"/>
        <v>0.21008155546436016</v>
      </c>
      <c r="L65" s="3">
        <f t="shared" si="3"/>
        <v>1.2151303134598237</v>
      </c>
      <c r="M65" s="3">
        <f t="shared" si="4"/>
        <v>1.0941549093003173</v>
      </c>
    </row>
    <row r="66" spans="1:13" x14ac:dyDescent="0.15">
      <c r="A66" s="5">
        <v>43616</v>
      </c>
      <c r="B66" s="6">
        <v>127.89</v>
      </c>
      <c r="C66" s="6">
        <v>2752.0628861321829</v>
      </c>
      <c r="D66" s="6">
        <v>661.85156185744086</v>
      </c>
      <c r="E66" s="4">
        <v>102.91</v>
      </c>
      <c r="F66" s="9">
        <v>69.62</v>
      </c>
      <c r="H66" s="1">
        <v>43616</v>
      </c>
      <c r="I66" s="3">
        <f t="shared" si="0"/>
        <v>-1.7892796805406224</v>
      </c>
      <c r="J66" s="3">
        <f t="shared" si="1"/>
        <v>-1.7360621030345655</v>
      </c>
      <c r="K66" s="3">
        <f t="shared" si="2"/>
        <v>-1.3196065568315454</v>
      </c>
      <c r="L66" s="3">
        <f t="shared" si="3"/>
        <v>-1.9990316093205718</v>
      </c>
      <c r="M66" s="3">
        <f t="shared" si="4"/>
        <v>-2.2975410614259961</v>
      </c>
    </row>
    <row r="67" spans="1:13" x14ac:dyDescent="0.15">
      <c r="A67" s="5">
        <v>43619</v>
      </c>
      <c r="B67" s="6">
        <v>131.03</v>
      </c>
      <c r="C67" s="6">
        <v>2744.4464431785109</v>
      </c>
      <c r="D67" s="6">
        <v>670.30909883726622</v>
      </c>
      <c r="E67" s="4">
        <v>103.8</v>
      </c>
      <c r="F67" s="9">
        <v>70.69</v>
      </c>
      <c r="H67" s="1">
        <v>43619</v>
      </c>
      <c r="I67" s="3">
        <f t="shared" si="0"/>
        <v>2.455234967550239</v>
      </c>
      <c r="J67" s="3">
        <f t="shared" si="1"/>
        <v>1.5369146796897344</v>
      </c>
      <c r="K67" s="3">
        <f t="shared" si="2"/>
        <v>-0.2767539576239984</v>
      </c>
      <c r="L67" s="3">
        <f t="shared" si="3"/>
        <v>1.2778600923883701</v>
      </c>
      <c r="M67" s="3">
        <f t="shared" si="4"/>
        <v>0.86483334952871493</v>
      </c>
    </row>
    <row r="68" spans="1:13" x14ac:dyDescent="0.15">
      <c r="A68" s="5">
        <v>43620</v>
      </c>
      <c r="B68" s="6">
        <v>131.43</v>
      </c>
      <c r="C68" s="6">
        <v>2803.2725358166681</v>
      </c>
      <c r="D68" s="6">
        <v>674.07248851510155</v>
      </c>
      <c r="E68" s="4">
        <v>104.68</v>
      </c>
      <c r="F68" s="9">
        <v>70.819999999999993</v>
      </c>
      <c r="H68" s="1">
        <v>43620</v>
      </c>
      <c r="I68" s="3">
        <f t="shared" si="0"/>
        <v>0.30527360146531762</v>
      </c>
      <c r="J68" s="3">
        <f t="shared" si="1"/>
        <v>0.1839015419436914</v>
      </c>
      <c r="K68" s="3">
        <f t="shared" si="2"/>
        <v>2.1434593043115506</v>
      </c>
      <c r="L68" s="3">
        <f t="shared" si="3"/>
        <v>0.56144093588516075</v>
      </c>
      <c r="M68" s="3">
        <f t="shared" si="4"/>
        <v>0.84778420038536584</v>
      </c>
    </row>
    <row r="69" spans="1:13" x14ac:dyDescent="0.15">
      <c r="A69" s="5">
        <v>43621</v>
      </c>
      <c r="B69" s="6">
        <v>133.5</v>
      </c>
      <c r="C69" s="6">
        <v>2826.150599552202</v>
      </c>
      <c r="D69" s="6">
        <v>686.67068636635327</v>
      </c>
      <c r="E69" s="4">
        <v>106.73</v>
      </c>
      <c r="F69" s="9">
        <v>71.92</v>
      </c>
      <c r="H69" s="1">
        <v>43621</v>
      </c>
      <c r="I69" s="3">
        <f t="shared" ref="I69:I132" si="5">((B69-B68)/B68)*100</f>
        <v>1.5749828806208577</v>
      </c>
      <c r="J69" s="3">
        <f t="shared" ref="J69:J132" si="6">((F69-F68)/F68)*100</f>
        <v>1.553233549844689</v>
      </c>
      <c r="K69" s="3">
        <f t="shared" ref="K69:K132" si="7">((C69-C68)/C68)*100</f>
        <v>0.81611985432122647</v>
      </c>
      <c r="L69" s="3">
        <f t="shared" ref="L69:L132" si="8">((D69-D68)/D68)*100</f>
        <v>1.8689678136848435</v>
      </c>
      <c r="M69" s="3">
        <f t="shared" ref="M69:M132" si="9">((E69-E68)/E68)*100</f>
        <v>1.9583492548719879</v>
      </c>
    </row>
    <row r="70" spans="1:13" x14ac:dyDescent="0.15">
      <c r="A70" s="5">
        <v>43622</v>
      </c>
      <c r="B70" s="6">
        <v>133.58000000000001</v>
      </c>
      <c r="C70" s="6">
        <v>2843.4903771814538</v>
      </c>
      <c r="D70" s="6">
        <v>692.19978974947935</v>
      </c>
      <c r="E70" s="4">
        <v>107.38</v>
      </c>
      <c r="F70" s="9">
        <v>73.11</v>
      </c>
      <c r="H70" s="1">
        <v>43622</v>
      </c>
      <c r="I70" s="3">
        <f t="shared" si="5"/>
        <v>5.992509363296817E-2</v>
      </c>
      <c r="J70" s="3">
        <f t="shared" si="6"/>
        <v>1.6546162402669602</v>
      </c>
      <c r="K70" s="3">
        <f t="shared" si="7"/>
        <v>0.61354754527233046</v>
      </c>
      <c r="L70" s="3">
        <f t="shared" si="8"/>
        <v>0.80520451694019046</v>
      </c>
      <c r="M70" s="3">
        <f t="shared" si="9"/>
        <v>0.60901339829475443</v>
      </c>
    </row>
    <row r="71" spans="1:13" x14ac:dyDescent="0.15">
      <c r="A71" s="5">
        <v>43623</v>
      </c>
      <c r="B71" s="6">
        <v>134.91</v>
      </c>
      <c r="C71" s="6">
        <v>2873.3420016462501</v>
      </c>
      <c r="D71" s="6">
        <v>699.55811046879091</v>
      </c>
      <c r="E71" s="4">
        <v>108.77</v>
      </c>
      <c r="F71" s="9">
        <v>73.989999999999995</v>
      </c>
      <c r="H71" s="1">
        <v>43623</v>
      </c>
      <c r="I71" s="3">
        <f t="shared" si="5"/>
        <v>0.99565803263960473</v>
      </c>
      <c r="J71" s="3">
        <f t="shared" si="6"/>
        <v>1.2036657092053009</v>
      </c>
      <c r="K71" s="3">
        <f t="shared" si="7"/>
        <v>1.0498232983079765</v>
      </c>
      <c r="L71" s="3">
        <f t="shared" si="8"/>
        <v>1.063034232063937</v>
      </c>
      <c r="M71" s="3">
        <f t="shared" si="9"/>
        <v>1.2944682436207866</v>
      </c>
    </row>
    <row r="72" spans="1:13" x14ac:dyDescent="0.15">
      <c r="A72" s="5">
        <v>43626</v>
      </c>
      <c r="B72" s="6">
        <v>134.71</v>
      </c>
      <c r="C72" s="6">
        <v>2886.7341265343844</v>
      </c>
      <c r="D72" s="6">
        <v>697.6160317643803</v>
      </c>
      <c r="E72" s="4">
        <v>108.72</v>
      </c>
      <c r="F72" s="9">
        <v>73.03</v>
      </c>
      <c r="H72" s="1">
        <v>43626</v>
      </c>
      <c r="I72" s="3">
        <f t="shared" si="5"/>
        <v>-0.14824697946778492</v>
      </c>
      <c r="J72" s="3">
        <f t="shared" si="6"/>
        <v>-1.2974726314366722</v>
      </c>
      <c r="K72" s="3">
        <f t="shared" si="7"/>
        <v>0.46608182668340226</v>
      </c>
      <c r="L72" s="3">
        <f t="shared" si="8"/>
        <v>-0.27761506518867818</v>
      </c>
      <c r="M72" s="3">
        <f t="shared" si="9"/>
        <v>-4.596855750666283E-2</v>
      </c>
    </row>
    <row r="73" spans="1:13" x14ac:dyDescent="0.15">
      <c r="A73" s="5">
        <v>43627</v>
      </c>
      <c r="B73" s="6">
        <v>134.61000000000001</v>
      </c>
      <c r="C73" s="6">
        <v>2885.7221462383695</v>
      </c>
      <c r="D73" s="6">
        <v>700.34240570767599</v>
      </c>
      <c r="E73" s="4">
        <v>109.38</v>
      </c>
      <c r="F73" s="9">
        <v>73.33</v>
      </c>
      <c r="H73" s="1">
        <v>43627</v>
      </c>
      <c r="I73" s="3">
        <f t="shared" si="5"/>
        <v>-7.4233538712786207E-2</v>
      </c>
      <c r="J73" s="3">
        <f t="shared" si="6"/>
        <v>0.41079008626591423</v>
      </c>
      <c r="K73" s="3">
        <f t="shared" si="7"/>
        <v>-3.5056234888861781E-2</v>
      </c>
      <c r="L73" s="3">
        <f t="shared" si="8"/>
        <v>0.39081297148522676</v>
      </c>
      <c r="M73" s="3">
        <f t="shared" si="9"/>
        <v>0.60706401766004103</v>
      </c>
    </row>
    <row r="74" spans="1:13" x14ac:dyDescent="0.15">
      <c r="A74" s="5">
        <v>43628</v>
      </c>
      <c r="B74" s="6">
        <v>136.31</v>
      </c>
      <c r="C74" s="6">
        <v>2879.8364590721526</v>
      </c>
      <c r="D74" s="6">
        <v>702.36785168109236</v>
      </c>
      <c r="E74" s="4">
        <v>109.68</v>
      </c>
      <c r="F74" s="9">
        <v>73.05</v>
      </c>
      <c r="H74" s="1">
        <v>43628</v>
      </c>
      <c r="I74" s="3">
        <f t="shared" si="5"/>
        <v>1.2629076591635009</v>
      </c>
      <c r="J74" s="3">
        <f t="shared" si="6"/>
        <v>-0.38183553797900061</v>
      </c>
      <c r="K74" s="3">
        <f t="shared" si="7"/>
        <v>-0.20395890068242084</v>
      </c>
      <c r="L74" s="3">
        <f t="shared" si="8"/>
        <v>0.28920795840853192</v>
      </c>
      <c r="M74" s="3">
        <f t="shared" si="9"/>
        <v>0.27427317608338947</v>
      </c>
    </row>
    <row r="75" spans="1:13" x14ac:dyDescent="0.15">
      <c r="A75" s="5">
        <v>43629</v>
      </c>
      <c r="B75" s="6">
        <v>137.32</v>
      </c>
      <c r="C75" s="6">
        <v>2891.6405345038365</v>
      </c>
      <c r="D75" s="6">
        <v>707.48337468932289</v>
      </c>
      <c r="E75" s="4">
        <v>110.91</v>
      </c>
      <c r="F75" s="9">
        <v>72.75</v>
      </c>
      <c r="H75" s="1">
        <v>43629</v>
      </c>
      <c r="I75" s="3">
        <f t="shared" si="5"/>
        <v>0.74095811019000135</v>
      </c>
      <c r="J75" s="3">
        <f t="shared" si="6"/>
        <v>-0.41067761806981129</v>
      </c>
      <c r="K75" s="3">
        <f t="shared" si="7"/>
        <v>0.40988700571861875</v>
      </c>
      <c r="L75" s="3">
        <f t="shared" si="8"/>
        <v>0.72832533493477869</v>
      </c>
      <c r="M75" s="3">
        <f t="shared" si="9"/>
        <v>1.1214442013129009</v>
      </c>
    </row>
    <row r="76" spans="1:13" x14ac:dyDescent="0.15">
      <c r="A76" s="5">
        <v>43630</v>
      </c>
      <c r="B76" s="6">
        <v>137.65</v>
      </c>
      <c r="C76" s="6">
        <v>2886.9832099801311</v>
      </c>
      <c r="D76" s="6">
        <v>710.01493109499552</v>
      </c>
      <c r="E76" s="4">
        <v>111.2</v>
      </c>
      <c r="F76" s="9">
        <v>73.349999999999994</v>
      </c>
      <c r="H76" s="1">
        <v>43630</v>
      </c>
      <c r="I76" s="3">
        <f t="shared" si="5"/>
        <v>0.24031459364987801</v>
      </c>
      <c r="J76" s="3">
        <f t="shared" si="6"/>
        <v>0.8247422680412293</v>
      </c>
      <c r="K76" s="3">
        <f t="shared" si="7"/>
        <v>-0.16106166960011206</v>
      </c>
      <c r="L76" s="3">
        <f t="shared" si="8"/>
        <v>0.35782556823816725</v>
      </c>
      <c r="M76" s="3">
        <f t="shared" si="9"/>
        <v>0.26147326661257436</v>
      </c>
    </row>
    <row r="77" spans="1:13" x14ac:dyDescent="0.15">
      <c r="A77" s="5">
        <v>43633</v>
      </c>
      <c r="B77" s="6">
        <v>137.19999999999999</v>
      </c>
      <c r="C77" s="6">
        <v>2889.6699778407151</v>
      </c>
      <c r="D77" s="6">
        <v>708.6030344537071</v>
      </c>
      <c r="E77" s="4">
        <v>110.99</v>
      </c>
      <c r="F77" s="9">
        <v>73.41</v>
      </c>
      <c r="H77" s="1">
        <v>43633</v>
      </c>
      <c r="I77" s="3">
        <f t="shared" si="5"/>
        <v>-0.32691609153651802</v>
      </c>
      <c r="J77" s="3">
        <f t="shared" si="6"/>
        <v>8.1799591002048089E-2</v>
      </c>
      <c r="K77" s="3">
        <f t="shared" si="7"/>
        <v>9.3064893875933974E-2</v>
      </c>
      <c r="L77" s="3">
        <f t="shared" si="8"/>
        <v>-0.19885450001889032</v>
      </c>
      <c r="M77" s="3">
        <f t="shared" si="9"/>
        <v>-0.18884892086331651</v>
      </c>
    </row>
    <row r="78" spans="1:13" x14ac:dyDescent="0.15">
      <c r="A78" s="5">
        <v>43634</v>
      </c>
      <c r="B78" s="6">
        <v>136.08000000000001</v>
      </c>
      <c r="C78" s="6">
        <v>2917.7507616530788</v>
      </c>
      <c r="D78" s="6">
        <v>700.7902359804192</v>
      </c>
      <c r="E78" s="4">
        <v>109.6</v>
      </c>
      <c r="F78" s="9">
        <v>72.89</v>
      </c>
      <c r="H78" s="1">
        <v>43634</v>
      </c>
      <c r="I78" s="3">
        <f t="shared" si="5"/>
        <v>-0.8163265306122276</v>
      </c>
      <c r="J78" s="3">
        <f t="shared" si="6"/>
        <v>-0.70835036098623627</v>
      </c>
      <c r="K78" s="3">
        <f t="shared" si="7"/>
        <v>0.97176438927973685</v>
      </c>
      <c r="L78" s="3">
        <f t="shared" si="8"/>
        <v>-1.1025635078335678</v>
      </c>
      <c r="M78" s="3">
        <f t="shared" si="9"/>
        <v>-1.2523650779349498</v>
      </c>
    </row>
    <row r="79" spans="1:13" x14ac:dyDescent="0.15">
      <c r="A79" s="5">
        <v>43635</v>
      </c>
      <c r="B79" s="6">
        <v>135.88</v>
      </c>
      <c r="C79" s="6">
        <v>2926.4558150439875</v>
      </c>
      <c r="D79" s="6">
        <v>704.81876947578678</v>
      </c>
      <c r="E79" s="4">
        <v>110.42</v>
      </c>
      <c r="F79" s="9">
        <v>73.53</v>
      </c>
      <c r="H79" s="1">
        <v>43635</v>
      </c>
      <c r="I79" s="3">
        <f t="shared" si="5"/>
        <v>-0.14697236919460394</v>
      </c>
      <c r="J79" s="3">
        <f t="shared" si="6"/>
        <v>0.87803539580189394</v>
      </c>
      <c r="K79" s="3">
        <f t="shared" si="7"/>
        <v>0.29834808049117806</v>
      </c>
      <c r="L79" s="3">
        <f t="shared" si="8"/>
        <v>0.57485582539996238</v>
      </c>
      <c r="M79" s="3">
        <f t="shared" si="9"/>
        <v>0.74817518248175863</v>
      </c>
    </row>
    <row r="80" spans="1:13" x14ac:dyDescent="0.15">
      <c r="A80" s="5">
        <v>43636</v>
      </c>
      <c r="B80" s="6">
        <v>136.31</v>
      </c>
      <c r="C80" s="6">
        <v>2954.1818728841436</v>
      </c>
      <c r="D80" s="6">
        <v>711.0325426002936</v>
      </c>
      <c r="E80" s="4">
        <v>111.74</v>
      </c>
      <c r="F80" s="9">
        <v>73.599999999999994</v>
      </c>
      <c r="H80" s="1">
        <v>43636</v>
      </c>
      <c r="I80" s="3">
        <f t="shared" si="5"/>
        <v>0.31645569620253666</v>
      </c>
      <c r="J80" s="3">
        <f t="shared" si="6"/>
        <v>9.5199238406083464E-2</v>
      </c>
      <c r="K80" s="3">
        <f t="shared" si="7"/>
        <v>0.9474278647101082</v>
      </c>
      <c r="L80" s="3">
        <f t="shared" si="8"/>
        <v>0.88161289023678346</v>
      </c>
      <c r="M80" s="3">
        <f t="shared" si="9"/>
        <v>1.1954356094910281</v>
      </c>
    </row>
    <row r="81" spans="1:13" x14ac:dyDescent="0.15">
      <c r="A81" s="5">
        <v>43637</v>
      </c>
      <c r="B81" s="6">
        <v>135.59</v>
      </c>
      <c r="C81" s="6">
        <v>2950.455013210636</v>
      </c>
      <c r="D81" s="6">
        <v>707.35090563105962</v>
      </c>
      <c r="E81" s="4">
        <v>111.2</v>
      </c>
      <c r="F81" s="9">
        <v>72.95</v>
      </c>
      <c r="H81" s="1">
        <v>43637</v>
      </c>
      <c r="I81" s="3">
        <f t="shared" si="5"/>
        <v>-0.52820776171960893</v>
      </c>
      <c r="J81" s="3">
        <f t="shared" si="6"/>
        <v>-0.88315217391303191</v>
      </c>
      <c r="K81" s="3">
        <f t="shared" si="7"/>
        <v>-0.12615539035411624</v>
      </c>
      <c r="L81" s="3">
        <f t="shared" si="8"/>
        <v>-0.51778740755943253</v>
      </c>
      <c r="M81" s="3">
        <f t="shared" si="9"/>
        <v>-0.48326472167531059</v>
      </c>
    </row>
    <row r="82" spans="1:13" x14ac:dyDescent="0.15">
      <c r="A82" s="5">
        <v>43640</v>
      </c>
      <c r="B82" s="6">
        <v>137.79</v>
      </c>
      <c r="C82" s="6">
        <v>2945.3487961538822</v>
      </c>
      <c r="D82" s="6">
        <v>714.89151323010401</v>
      </c>
      <c r="E82" s="4">
        <v>112.33</v>
      </c>
      <c r="F82" s="9">
        <v>73.97</v>
      </c>
      <c r="H82" s="1">
        <v>43640</v>
      </c>
      <c r="I82" s="3">
        <f t="shared" si="5"/>
        <v>1.6225385352902046</v>
      </c>
      <c r="J82" s="3">
        <f t="shared" si="6"/>
        <v>1.398217957505135</v>
      </c>
      <c r="K82" s="3">
        <f t="shared" si="7"/>
        <v>-0.17306540970429332</v>
      </c>
      <c r="L82" s="3">
        <f t="shared" si="8"/>
        <v>1.0660349112463603</v>
      </c>
      <c r="M82" s="3">
        <f t="shared" si="9"/>
        <v>1.0161870503597081</v>
      </c>
    </row>
    <row r="83" spans="1:13" x14ac:dyDescent="0.15">
      <c r="A83" s="5">
        <v>43641</v>
      </c>
      <c r="B83" s="6">
        <v>136.83000000000001</v>
      </c>
      <c r="C83" s="6">
        <v>2917.3831404343919</v>
      </c>
      <c r="D83" s="6">
        <v>711.493051628594</v>
      </c>
      <c r="E83" s="4">
        <v>111.72</v>
      </c>
      <c r="F83" s="9">
        <v>73.91</v>
      </c>
      <c r="H83" s="1">
        <v>43641</v>
      </c>
      <c r="I83" s="3">
        <f t="shared" si="5"/>
        <v>-0.69671238841714167</v>
      </c>
      <c r="J83" s="3">
        <f t="shared" si="6"/>
        <v>-8.1113965120998069E-2</v>
      </c>
      <c r="K83" s="3">
        <f t="shared" si="7"/>
        <v>-0.94948536336370903</v>
      </c>
      <c r="L83" s="3">
        <f t="shared" si="8"/>
        <v>-0.4753814444033182</v>
      </c>
      <c r="M83" s="3">
        <f t="shared" si="9"/>
        <v>-0.54304282026172834</v>
      </c>
    </row>
    <row r="84" spans="1:13" x14ac:dyDescent="0.15">
      <c r="A84" s="5">
        <v>43642</v>
      </c>
      <c r="B84" s="6">
        <v>133.41</v>
      </c>
      <c r="C84" s="6">
        <v>2913.7787781963061</v>
      </c>
      <c r="D84" s="6">
        <v>697.13502765651629</v>
      </c>
      <c r="E84" s="4">
        <v>109.73</v>
      </c>
      <c r="F84" s="9">
        <v>72.349999999999994</v>
      </c>
      <c r="H84" s="1">
        <v>43642</v>
      </c>
      <c r="I84" s="3">
        <f t="shared" si="5"/>
        <v>-2.4994518745889174</v>
      </c>
      <c r="J84" s="3">
        <f t="shared" si="6"/>
        <v>-2.1106751454471686</v>
      </c>
      <c r="K84" s="3">
        <f t="shared" si="7"/>
        <v>-0.12354778459263531</v>
      </c>
      <c r="L84" s="3">
        <f t="shared" si="8"/>
        <v>-2.0180132383882703</v>
      </c>
      <c r="M84" s="3">
        <f t="shared" si="9"/>
        <v>-1.7812388113139948</v>
      </c>
    </row>
    <row r="85" spans="1:13" x14ac:dyDescent="0.15">
      <c r="A85" s="5">
        <v>43643</v>
      </c>
      <c r="B85" s="6">
        <v>133.91999999999999</v>
      </c>
      <c r="C85" s="6">
        <v>2924.9212016279544</v>
      </c>
      <c r="D85" s="6">
        <v>697.63717723500849</v>
      </c>
      <c r="E85" s="4">
        <v>109.78</v>
      </c>
      <c r="F85" s="9">
        <v>72.14</v>
      </c>
      <c r="H85" s="1">
        <v>43643</v>
      </c>
      <c r="I85" s="3">
        <f t="shared" si="5"/>
        <v>0.38228018889138066</v>
      </c>
      <c r="J85" s="3">
        <f t="shared" si="6"/>
        <v>-0.29025570145126989</v>
      </c>
      <c r="K85" s="3">
        <f t="shared" si="7"/>
        <v>0.38240457769225866</v>
      </c>
      <c r="L85" s="3">
        <f t="shared" si="8"/>
        <v>7.2030461613760852E-2</v>
      </c>
      <c r="M85" s="3">
        <f t="shared" si="9"/>
        <v>4.5566390230563344E-2</v>
      </c>
    </row>
    <row r="86" spans="1:13" x14ac:dyDescent="0.15">
      <c r="A86" s="5">
        <v>43644</v>
      </c>
      <c r="B86" s="6">
        <v>133.28</v>
      </c>
      <c r="C86" s="6">
        <v>2941.7606374579345</v>
      </c>
      <c r="D86" s="6">
        <v>696.20734937004613</v>
      </c>
      <c r="E86" s="4">
        <v>109.65</v>
      </c>
      <c r="F86" s="9">
        <v>71.67</v>
      </c>
      <c r="H86" s="1">
        <v>43644</v>
      </c>
      <c r="I86" s="3">
        <f t="shared" si="5"/>
        <v>-0.47789725209079031</v>
      </c>
      <c r="J86" s="3">
        <f t="shared" si="6"/>
        <v>-0.65151095092874811</v>
      </c>
      <c r="K86" s="3">
        <f t="shared" si="7"/>
        <v>0.57572271761056915</v>
      </c>
      <c r="L86" s="3">
        <f t="shared" si="8"/>
        <v>-0.2049529342213805</v>
      </c>
      <c r="M86" s="3">
        <f t="shared" si="9"/>
        <v>-0.11841865549279965</v>
      </c>
    </row>
    <row r="87" spans="1:13" x14ac:dyDescent="0.15">
      <c r="A87" s="5">
        <v>43647</v>
      </c>
      <c r="B87" s="6">
        <v>135.41999999999999</v>
      </c>
      <c r="C87" s="6">
        <v>2964.33284246836</v>
      </c>
      <c r="D87" s="6">
        <v>701.63911791025862</v>
      </c>
      <c r="E87" s="4">
        <v>110.49</v>
      </c>
      <c r="F87" s="9">
        <v>72.08</v>
      </c>
      <c r="H87" s="1">
        <v>43647</v>
      </c>
      <c r="I87" s="3">
        <f t="shared" si="5"/>
        <v>1.6056422569027511</v>
      </c>
      <c r="J87" s="3">
        <f t="shared" si="6"/>
        <v>0.57206641551555271</v>
      </c>
      <c r="K87" s="3">
        <f t="shared" si="7"/>
        <v>0.76730257122247758</v>
      </c>
      <c r="L87" s="3">
        <f t="shared" si="8"/>
        <v>0.78019408228415732</v>
      </c>
      <c r="M87" s="3">
        <f t="shared" si="9"/>
        <v>0.76607387140901884</v>
      </c>
    </row>
    <row r="88" spans="1:13" x14ac:dyDescent="0.15">
      <c r="A88" s="5">
        <v>43648</v>
      </c>
      <c r="B88" s="6">
        <v>136.07</v>
      </c>
      <c r="C88" s="6">
        <v>2973.011927566301</v>
      </c>
      <c r="D88" s="6">
        <v>707.48045510451061</v>
      </c>
      <c r="E88" s="4">
        <v>111.48</v>
      </c>
      <c r="F88" s="9">
        <v>72.739999999999995</v>
      </c>
      <c r="H88" s="1">
        <v>43648</v>
      </c>
      <c r="I88" s="3">
        <f t="shared" si="5"/>
        <v>0.47998818490622197</v>
      </c>
      <c r="J88" s="3">
        <f t="shared" si="6"/>
        <v>0.91564927857935152</v>
      </c>
      <c r="K88" s="3">
        <f t="shared" si="7"/>
        <v>0.29278375807198537</v>
      </c>
      <c r="L88" s="3">
        <f t="shared" si="8"/>
        <v>0.83252729859898056</v>
      </c>
      <c r="M88" s="3">
        <f t="shared" si="9"/>
        <v>0.89600868856910965</v>
      </c>
    </row>
    <row r="89" spans="1:13" x14ac:dyDescent="0.15">
      <c r="A89" s="5">
        <v>43649</v>
      </c>
      <c r="B89" s="6">
        <v>138.35</v>
      </c>
      <c r="C89" s="6">
        <v>2995.8225920371956</v>
      </c>
      <c r="D89" s="6">
        <v>722.45841620202896</v>
      </c>
      <c r="E89" s="4">
        <v>114.08</v>
      </c>
      <c r="F89" s="9">
        <v>74</v>
      </c>
      <c r="H89" s="1">
        <v>43649</v>
      </c>
      <c r="I89" s="3">
        <f t="shared" si="5"/>
        <v>1.6756081428676426</v>
      </c>
      <c r="J89" s="3">
        <f t="shared" si="6"/>
        <v>1.732196865548536</v>
      </c>
      <c r="K89" s="3">
        <f t="shared" si="7"/>
        <v>0.76725775162184939</v>
      </c>
      <c r="L89" s="3">
        <f t="shared" si="8"/>
        <v>2.1170847886258239</v>
      </c>
      <c r="M89" s="3">
        <f t="shared" si="9"/>
        <v>2.3322569070685271</v>
      </c>
    </row>
    <row r="90" spans="1:13" x14ac:dyDescent="0.15">
      <c r="A90" s="5">
        <v>43651</v>
      </c>
      <c r="B90" s="6">
        <v>137.06</v>
      </c>
      <c r="C90" s="6">
        <v>2990.4095826285779</v>
      </c>
      <c r="D90" s="6">
        <v>716.091799709822</v>
      </c>
      <c r="E90" s="4">
        <v>113.15</v>
      </c>
      <c r="F90" s="9">
        <v>73.14</v>
      </c>
      <c r="H90" s="1">
        <v>43651</v>
      </c>
      <c r="I90" s="3">
        <f t="shared" si="5"/>
        <v>-0.93241778099023631</v>
      </c>
      <c r="J90" s="3">
        <f t="shared" si="6"/>
        <v>-1.1621621621621614</v>
      </c>
      <c r="K90" s="3">
        <f t="shared" si="7"/>
        <v>-0.18068524561518653</v>
      </c>
      <c r="L90" s="3">
        <f t="shared" si="8"/>
        <v>-0.88124331441473469</v>
      </c>
      <c r="M90" s="3">
        <f t="shared" si="9"/>
        <v>-0.81521739130434134</v>
      </c>
    </row>
    <row r="91" spans="1:13" x14ac:dyDescent="0.15">
      <c r="A91" s="5">
        <v>43654</v>
      </c>
      <c r="B91" s="6">
        <v>138.49</v>
      </c>
      <c r="C91" s="6">
        <v>2975.9455012433718</v>
      </c>
      <c r="D91" s="6">
        <v>721.12007649850011</v>
      </c>
      <c r="E91" s="4">
        <v>114.05</v>
      </c>
      <c r="F91" s="9">
        <v>73.38</v>
      </c>
      <c r="H91" s="1">
        <v>43654</v>
      </c>
      <c r="I91" s="3">
        <f t="shared" si="5"/>
        <v>1.0433386837881269</v>
      </c>
      <c r="J91" s="3">
        <f t="shared" si="6"/>
        <v>0.32813781788350405</v>
      </c>
      <c r="K91" s="3">
        <f t="shared" si="7"/>
        <v>-0.4836822845013804</v>
      </c>
      <c r="L91" s="3">
        <f t="shared" si="8"/>
        <v>0.70218326626777383</v>
      </c>
      <c r="M91" s="3">
        <f t="shared" si="9"/>
        <v>0.79540433053468096</v>
      </c>
    </row>
    <row r="92" spans="1:13" x14ac:dyDescent="0.15">
      <c r="A92" s="5">
        <v>43655</v>
      </c>
      <c r="B92" s="6">
        <v>136.87</v>
      </c>
      <c r="C92" s="6">
        <v>2979.6258058689832</v>
      </c>
      <c r="D92" s="6">
        <v>714.61373489021491</v>
      </c>
      <c r="E92" s="4">
        <v>112.91</v>
      </c>
      <c r="F92" s="9">
        <v>73.11</v>
      </c>
      <c r="H92" s="1">
        <v>43655</v>
      </c>
      <c r="I92" s="3">
        <f t="shared" si="5"/>
        <v>-1.1697595494259545</v>
      </c>
      <c r="J92" s="3">
        <f t="shared" si="6"/>
        <v>-0.3679476696647534</v>
      </c>
      <c r="K92" s="3">
        <f t="shared" si="7"/>
        <v>0.12366841476343274</v>
      </c>
      <c r="L92" s="3">
        <f t="shared" si="8"/>
        <v>-0.90225495313868576</v>
      </c>
      <c r="M92" s="3">
        <f t="shared" si="9"/>
        <v>-0.99956159579132009</v>
      </c>
    </row>
    <row r="93" spans="1:13" x14ac:dyDescent="0.15">
      <c r="A93" s="5">
        <v>43656</v>
      </c>
      <c r="B93" s="6">
        <v>137.80000000000001</v>
      </c>
      <c r="C93" s="6">
        <v>2993.0699580184587</v>
      </c>
      <c r="D93" s="6">
        <v>719.25755531728112</v>
      </c>
      <c r="E93" s="4">
        <v>113.75</v>
      </c>
      <c r="F93" s="9">
        <v>73.489999999999995</v>
      </c>
      <c r="H93" s="1">
        <v>43656</v>
      </c>
      <c r="I93" s="3">
        <f t="shared" si="5"/>
        <v>0.67947687586761663</v>
      </c>
      <c r="J93" s="3">
        <f t="shared" si="6"/>
        <v>0.51976473806592183</v>
      </c>
      <c r="K93" s="3">
        <f t="shared" si="7"/>
        <v>0.45120270213106878</v>
      </c>
      <c r="L93" s="3">
        <f t="shared" si="8"/>
        <v>0.64983643615240982</v>
      </c>
      <c r="M93" s="3">
        <f t="shared" si="9"/>
        <v>0.74395536267824236</v>
      </c>
    </row>
    <row r="94" spans="1:13" x14ac:dyDescent="0.15">
      <c r="A94" s="5">
        <v>43657</v>
      </c>
      <c r="B94" s="6">
        <v>137.41999999999999</v>
      </c>
      <c r="C94" s="6">
        <v>2999.90694729709</v>
      </c>
      <c r="D94" s="6">
        <v>722.68277031232128</v>
      </c>
      <c r="E94" s="4">
        <v>114.38</v>
      </c>
      <c r="F94" s="9">
        <v>73.89</v>
      </c>
      <c r="H94" s="1">
        <v>43657</v>
      </c>
      <c r="I94" s="3">
        <f t="shared" si="5"/>
        <v>-0.27576197387519874</v>
      </c>
      <c r="J94" s="3">
        <f t="shared" si="6"/>
        <v>0.54429174037284767</v>
      </c>
      <c r="K94" s="3">
        <f t="shared" si="7"/>
        <v>0.22842731291044452</v>
      </c>
      <c r="L94" s="3">
        <f t="shared" si="8"/>
        <v>0.47621536537481668</v>
      </c>
      <c r="M94" s="3">
        <f t="shared" si="9"/>
        <v>0.55384615384614977</v>
      </c>
    </row>
    <row r="95" spans="1:13" x14ac:dyDescent="0.15">
      <c r="A95" s="5">
        <v>43658</v>
      </c>
      <c r="B95" s="6">
        <v>138.76</v>
      </c>
      <c r="C95" s="6">
        <v>3013.7726490768137</v>
      </c>
      <c r="D95" s="6">
        <v>727.35433606606421</v>
      </c>
      <c r="E95" s="4">
        <v>114.99</v>
      </c>
      <c r="F95" s="9">
        <v>74.38</v>
      </c>
      <c r="H95" s="1">
        <v>43658</v>
      </c>
      <c r="I95" s="3">
        <f t="shared" si="5"/>
        <v>0.97511279289768849</v>
      </c>
      <c r="J95" s="3">
        <f t="shared" si="6"/>
        <v>0.66314792258762334</v>
      </c>
      <c r="K95" s="3">
        <f t="shared" si="7"/>
        <v>0.46220439578022882</v>
      </c>
      <c r="L95" s="3">
        <f t="shared" si="8"/>
        <v>0.64641997092638837</v>
      </c>
      <c r="M95" s="3">
        <f t="shared" si="9"/>
        <v>0.53331001923413135</v>
      </c>
    </row>
    <row r="96" spans="1:13" x14ac:dyDescent="0.15">
      <c r="A96" s="5">
        <v>43661</v>
      </c>
      <c r="B96" s="6">
        <v>139.25</v>
      </c>
      <c r="C96" s="6">
        <v>3014.2978852130268</v>
      </c>
      <c r="D96" s="6">
        <v>729.22585907831103</v>
      </c>
      <c r="E96" s="4">
        <v>115.48</v>
      </c>
      <c r="F96" s="9">
        <v>74</v>
      </c>
      <c r="H96" s="1">
        <v>43661</v>
      </c>
      <c r="I96" s="3">
        <f t="shared" si="5"/>
        <v>0.35312770250793396</v>
      </c>
      <c r="J96" s="3">
        <f t="shared" si="6"/>
        <v>-0.5108900242000477</v>
      </c>
      <c r="K96" s="3">
        <f t="shared" si="7"/>
        <v>1.7427861931590759E-2</v>
      </c>
      <c r="L96" s="3">
        <f t="shared" si="8"/>
        <v>0.25730554139115475</v>
      </c>
      <c r="M96" s="3">
        <f t="shared" si="9"/>
        <v>0.42612401078355427</v>
      </c>
    </row>
    <row r="97" spans="1:13" x14ac:dyDescent="0.15">
      <c r="A97" s="5">
        <v>43662</v>
      </c>
      <c r="B97" s="6">
        <v>138.52000000000001</v>
      </c>
      <c r="C97" s="6">
        <v>3004.0431039320347</v>
      </c>
      <c r="D97" s="6">
        <v>731.55306536390333</v>
      </c>
      <c r="E97" s="4">
        <v>115.89</v>
      </c>
      <c r="F97" s="9">
        <v>74.5</v>
      </c>
      <c r="H97" s="1">
        <v>43662</v>
      </c>
      <c r="I97" s="3">
        <f t="shared" si="5"/>
        <v>-0.52423698384200346</v>
      </c>
      <c r="J97" s="3">
        <f t="shared" si="6"/>
        <v>0.67567567567567566</v>
      </c>
      <c r="K97" s="3">
        <f t="shared" si="7"/>
        <v>-0.34020464040060833</v>
      </c>
      <c r="L97" s="3">
        <f t="shared" si="8"/>
        <v>0.31913381246980432</v>
      </c>
      <c r="M97" s="3">
        <f t="shared" si="9"/>
        <v>0.35503983373744075</v>
      </c>
    </row>
    <row r="98" spans="1:13" x14ac:dyDescent="0.15">
      <c r="A98" s="5">
        <v>43663</v>
      </c>
      <c r="B98" s="6">
        <v>138.03</v>
      </c>
      <c r="C98" s="6">
        <v>2984.4234710898791</v>
      </c>
      <c r="D98" s="6">
        <v>730.36252565579571</v>
      </c>
      <c r="E98" s="4">
        <v>115.94</v>
      </c>
      <c r="F98" s="9">
        <v>73.75</v>
      </c>
      <c r="H98" s="1">
        <v>43663</v>
      </c>
      <c r="I98" s="3">
        <f t="shared" si="5"/>
        <v>-0.35373953219752313</v>
      </c>
      <c r="J98" s="3">
        <f t="shared" si="6"/>
        <v>-1.006711409395973</v>
      </c>
      <c r="K98" s="3">
        <f t="shared" si="7"/>
        <v>-0.65310756748048016</v>
      </c>
      <c r="L98" s="3">
        <f t="shared" si="8"/>
        <v>-0.16274140106506155</v>
      </c>
      <c r="M98" s="3">
        <f t="shared" si="9"/>
        <v>4.3144361032010664E-2</v>
      </c>
    </row>
    <row r="99" spans="1:13" x14ac:dyDescent="0.15">
      <c r="A99" s="5">
        <v>43664</v>
      </c>
      <c r="B99" s="6">
        <v>137.54</v>
      </c>
      <c r="C99" s="6">
        <v>2995.1124645295586</v>
      </c>
      <c r="D99" s="6">
        <v>729.20842660314077</v>
      </c>
      <c r="E99" s="4">
        <v>115.44</v>
      </c>
      <c r="F99" s="9">
        <v>73.88</v>
      </c>
      <c r="H99" s="1">
        <v>43664</v>
      </c>
      <c r="I99" s="3">
        <f t="shared" si="5"/>
        <v>-0.35499529087880105</v>
      </c>
      <c r="J99" s="3">
        <f t="shared" si="6"/>
        <v>0.1762711864406718</v>
      </c>
      <c r="K99" s="3">
        <f t="shared" si="7"/>
        <v>0.35815940811429159</v>
      </c>
      <c r="L99" s="3">
        <f t="shared" si="8"/>
        <v>-0.15801728759545428</v>
      </c>
      <c r="M99" s="3">
        <f t="shared" si="9"/>
        <v>-0.43125754700707264</v>
      </c>
    </row>
    <row r="100" spans="1:13" x14ac:dyDescent="0.15">
      <c r="A100" s="5">
        <v>43665</v>
      </c>
      <c r="B100" s="6">
        <v>135.74</v>
      </c>
      <c r="C100" s="6">
        <v>2976.6090569872754</v>
      </c>
      <c r="D100" s="6">
        <v>724.22088199887583</v>
      </c>
      <c r="E100" s="4">
        <v>115.01</v>
      </c>
      <c r="F100" s="9">
        <v>72.7</v>
      </c>
      <c r="H100" s="1">
        <v>43665</v>
      </c>
      <c r="I100" s="3">
        <f t="shared" si="5"/>
        <v>-1.3087101933982719</v>
      </c>
      <c r="J100" s="3">
        <f t="shared" si="6"/>
        <v>-1.5971846237141212</v>
      </c>
      <c r="K100" s="3">
        <f t="shared" si="7"/>
        <v>-0.61778673627167158</v>
      </c>
      <c r="L100" s="3">
        <f t="shared" si="8"/>
        <v>-0.68396694584267692</v>
      </c>
      <c r="M100" s="3">
        <f t="shared" si="9"/>
        <v>-0.37248787248786608</v>
      </c>
    </row>
    <row r="101" spans="1:13" x14ac:dyDescent="0.15">
      <c r="A101" s="5">
        <v>43668</v>
      </c>
      <c r="B101" s="6">
        <v>134.26</v>
      </c>
      <c r="C101" s="6">
        <v>2985.0311553162123</v>
      </c>
      <c r="D101" s="6">
        <v>723.96277087299939</v>
      </c>
      <c r="E101" s="4">
        <v>115.3</v>
      </c>
      <c r="F101" s="9">
        <v>72.349999999999994</v>
      </c>
      <c r="H101" s="1">
        <v>43668</v>
      </c>
      <c r="I101" s="3">
        <f t="shared" si="5"/>
        <v>-1.0903197288934863</v>
      </c>
      <c r="J101" s="3">
        <f t="shared" si="6"/>
        <v>-0.48143053645118095</v>
      </c>
      <c r="K101" s="3">
        <f t="shared" si="7"/>
        <v>0.28294270989893577</v>
      </c>
      <c r="L101" s="3">
        <f t="shared" si="8"/>
        <v>-3.5639834792396963E-2</v>
      </c>
      <c r="M101" s="3">
        <f t="shared" si="9"/>
        <v>0.252151986783751</v>
      </c>
    </row>
    <row r="102" spans="1:13" x14ac:dyDescent="0.15">
      <c r="A102" s="5">
        <v>43669</v>
      </c>
      <c r="B102" s="6">
        <v>135.05000000000001</v>
      </c>
      <c r="C102" s="6">
        <v>3005.4734873057182</v>
      </c>
      <c r="D102" s="6">
        <v>718.72924905050843</v>
      </c>
      <c r="E102" s="4">
        <v>113.85</v>
      </c>
      <c r="F102" s="9">
        <v>72.28</v>
      </c>
      <c r="H102" s="1">
        <v>43669</v>
      </c>
      <c r="I102" s="3">
        <f t="shared" si="5"/>
        <v>0.58841054670044735</v>
      </c>
      <c r="J102" s="3">
        <f t="shared" si="6"/>
        <v>-9.6751900483750083E-2</v>
      </c>
      <c r="K102" s="3">
        <f t="shared" si="7"/>
        <v>0.68482809477880846</v>
      </c>
      <c r="L102" s="3">
        <f t="shared" si="8"/>
        <v>-0.72289930270586289</v>
      </c>
      <c r="M102" s="3">
        <f t="shared" si="9"/>
        <v>-1.2575888985255879</v>
      </c>
    </row>
    <row r="103" spans="1:13" x14ac:dyDescent="0.15">
      <c r="A103" s="5">
        <v>43670</v>
      </c>
      <c r="B103" s="6">
        <v>134.65</v>
      </c>
      <c r="C103" s="6">
        <v>3019.5565604111998</v>
      </c>
      <c r="D103" s="6">
        <v>711.30360334113618</v>
      </c>
      <c r="E103" s="4">
        <v>112.6</v>
      </c>
      <c r="F103" s="9">
        <v>71.28</v>
      </c>
      <c r="H103" s="1">
        <v>43670</v>
      </c>
      <c r="I103" s="3">
        <f t="shared" si="5"/>
        <v>-0.29618659755646476</v>
      </c>
      <c r="J103" s="3">
        <f t="shared" si="6"/>
        <v>-1.3835085777531821</v>
      </c>
      <c r="K103" s="3">
        <f t="shared" si="7"/>
        <v>0.46858084641120906</v>
      </c>
      <c r="L103" s="3">
        <f t="shared" si="8"/>
        <v>-1.0331631444221929</v>
      </c>
      <c r="M103" s="3">
        <f t="shared" si="9"/>
        <v>-1.0979358805445762</v>
      </c>
    </row>
    <row r="104" spans="1:13" x14ac:dyDescent="0.15">
      <c r="A104" s="5">
        <v>43671</v>
      </c>
      <c r="B104" s="6">
        <v>135.38999999999999</v>
      </c>
      <c r="C104" s="6">
        <v>3003.6712511099136</v>
      </c>
      <c r="D104" s="6">
        <v>713.54120634222159</v>
      </c>
      <c r="E104" s="4">
        <v>112.77</v>
      </c>
      <c r="F104" s="9">
        <v>71.930000000000007</v>
      </c>
      <c r="H104" s="1">
        <v>43671</v>
      </c>
      <c r="I104" s="3">
        <f t="shared" si="5"/>
        <v>0.54957296695134095</v>
      </c>
      <c r="J104" s="3">
        <f t="shared" si="6"/>
        <v>0.91189674523008657</v>
      </c>
      <c r="K104" s="3">
        <f t="shared" si="7"/>
        <v>-0.52608086596407477</v>
      </c>
      <c r="L104" s="3">
        <f t="shared" si="8"/>
        <v>0.31457776827994854</v>
      </c>
      <c r="M104" s="3">
        <f t="shared" si="9"/>
        <v>0.15097690941385586</v>
      </c>
    </row>
    <row r="105" spans="1:13" x14ac:dyDescent="0.15">
      <c r="A105" s="5">
        <v>43672</v>
      </c>
      <c r="B105" s="6">
        <v>137.16999999999999</v>
      </c>
      <c r="C105" s="6">
        <v>3025.8591481188296</v>
      </c>
      <c r="D105" s="6">
        <v>726.35545311974158</v>
      </c>
      <c r="E105" s="4">
        <v>114.73</v>
      </c>
      <c r="F105" s="9">
        <v>73.69</v>
      </c>
      <c r="H105" s="1">
        <v>43672</v>
      </c>
      <c r="I105" s="3">
        <f t="shared" si="5"/>
        <v>1.3147204372553374</v>
      </c>
      <c r="J105" s="3">
        <f t="shared" si="6"/>
        <v>2.4468233004309616</v>
      </c>
      <c r="K105" s="3">
        <f t="shared" si="7"/>
        <v>0.73869259163156331</v>
      </c>
      <c r="L105" s="3">
        <f t="shared" si="8"/>
        <v>1.7958664003735414</v>
      </c>
      <c r="M105" s="3">
        <f t="shared" si="9"/>
        <v>1.7380509000620805</v>
      </c>
    </row>
    <row r="106" spans="1:13" x14ac:dyDescent="0.15">
      <c r="A106" s="5">
        <v>43675</v>
      </c>
      <c r="B106" s="6">
        <v>138.25</v>
      </c>
      <c r="C106" s="6">
        <v>3020.9681229405687</v>
      </c>
      <c r="D106" s="6">
        <v>734.8409376035388</v>
      </c>
      <c r="E106" s="4">
        <v>116</v>
      </c>
      <c r="F106" s="9">
        <v>75.569999999999993</v>
      </c>
      <c r="H106" s="1">
        <v>43675</v>
      </c>
      <c r="I106" s="3">
        <f t="shared" si="5"/>
        <v>0.78734417146607316</v>
      </c>
      <c r="J106" s="3">
        <f t="shared" si="6"/>
        <v>2.551228117790739</v>
      </c>
      <c r="K106" s="3">
        <f t="shared" si="7"/>
        <v>-0.16164087417293041</v>
      </c>
      <c r="L106" s="3">
        <f t="shared" si="8"/>
        <v>1.1682275458044049</v>
      </c>
      <c r="M106" s="3">
        <f t="shared" si="9"/>
        <v>1.1069467445306336</v>
      </c>
    </row>
    <row r="107" spans="1:13" x14ac:dyDescent="0.15">
      <c r="A107" s="5">
        <v>43676</v>
      </c>
      <c r="B107" s="6">
        <v>138.30000000000001</v>
      </c>
      <c r="C107" s="6">
        <v>3013.1818626619583</v>
      </c>
      <c r="D107" s="6">
        <v>752.19550746232699</v>
      </c>
      <c r="E107" s="4">
        <v>120.41</v>
      </c>
      <c r="F107" s="9">
        <v>74.739999999999995</v>
      </c>
      <c r="H107" s="1">
        <v>43676</v>
      </c>
      <c r="I107" s="3">
        <f t="shared" si="5"/>
        <v>3.6166365280297555E-2</v>
      </c>
      <c r="J107" s="3">
        <f t="shared" si="6"/>
        <v>-1.0983194389307904</v>
      </c>
      <c r="K107" s="3">
        <f t="shared" si="7"/>
        <v>-0.25774056400937234</v>
      </c>
      <c r="L107" s="3">
        <f t="shared" si="8"/>
        <v>2.361677061077307</v>
      </c>
      <c r="M107" s="3">
        <f t="shared" si="9"/>
        <v>3.8017241379310311</v>
      </c>
    </row>
    <row r="108" spans="1:13" x14ac:dyDescent="0.15">
      <c r="A108" s="5">
        <v>43677</v>
      </c>
      <c r="B108" s="6">
        <v>135.65</v>
      </c>
      <c r="C108" s="6">
        <v>2980.3788544642703</v>
      </c>
      <c r="D108" s="6">
        <v>735.52868234569678</v>
      </c>
      <c r="E108" s="4">
        <v>118.04</v>
      </c>
      <c r="F108" s="9">
        <v>71.739999999999995</v>
      </c>
      <c r="H108" s="1">
        <v>43677</v>
      </c>
      <c r="I108" s="3">
        <f t="shared" si="5"/>
        <v>-1.91612436731743</v>
      </c>
      <c r="J108" s="3">
        <f t="shared" si="6"/>
        <v>-4.0139149050040146</v>
      </c>
      <c r="K108" s="3">
        <f t="shared" si="7"/>
        <v>-1.0886501277658918</v>
      </c>
      <c r="L108" s="3">
        <f t="shared" si="8"/>
        <v>-2.2157570673160327</v>
      </c>
      <c r="M108" s="3">
        <f t="shared" si="9"/>
        <v>-1.9682750602109378</v>
      </c>
    </row>
    <row r="109" spans="1:13" x14ac:dyDescent="0.15">
      <c r="A109" s="5">
        <v>43678</v>
      </c>
      <c r="B109" s="6">
        <v>135.24</v>
      </c>
      <c r="C109" s="6">
        <v>2953.560123626331</v>
      </c>
      <c r="D109" s="6">
        <v>727.34580043018468</v>
      </c>
      <c r="E109" s="4">
        <v>116.73</v>
      </c>
      <c r="F109" s="9">
        <v>71.260000000000005</v>
      </c>
      <c r="H109" s="1">
        <v>43678</v>
      </c>
      <c r="I109" s="3">
        <f t="shared" si="5"/>
        <v>-0.30224843346848257</v>
      </c>
      <c r="J109" s="3">
        <f t="shared" si="6"/>
        <v>-0.66908279899636158</v>
      </c>
      <c r="K109" s="3">
        <f t="shared" si="7"/>
        <v>-0.89984301149391899</v>
      </c>
      <c r="L109" s="3">
        <f t="shared" si="8"/>
        <v>-1.1125170386851295</v>
      </c>
      <c r="M109" s="3">
        <f t="shared" si="9"/>
        <v>-1.1097932904100323</v>
      </c>
    </row>
    <row r="110" spans="1:13" x14ac:dyDescent="0.15">
      <c r="A110" s="5">
        <v>43679</v>
      </c>
      <c r="B110" s="6">
        <v>135.87</v>
      </c>
      <c r="C110" s="6">
        <v>2932.0452074070449</v>
      </c>
      <c r="D110" s="6">
        <v>726.56980626964753</v>
      </c>
      <c r="E110" s="4">
        <v>116.44</v>
      </c>
      <c r="F110" s="9">
        <v>71.2</v>
      </c>
      <c r="H110" s="1">
        <v>43679</v>
      </c>
      <c r="I110" s="3">
        <f t="shared" si="5"/>
        <v>0.46583850931676679</v>
      </c>
      <c r="J110" s="3">
        <f t="shared" si="6"/>
        <v>-8.419870895313257E-2</v>
      </c>
      <c r="K110" s="3">
        <f t="shared" si="7"/>
        <v>-0.72844009665428544</v>
      </c>
      <c r="L110" s="3">
        <f t="shared" si="8"/>
        <v>-0.10668847748597637</v>
      </c>
      <c r="M110" s="3">
        <f t="shared" si="9"/>
        <v>-0.2484365630086578</v>
      </c>
    </row>
    <row r="111" spans="1:13" x14ac:dyDescent="0.15">
      <c r="A111" s="5">
        <v>43682</v>
      </c>
      <c r="B111" s="6">
        <v>133.63</v>
      </c>
      <c r="C111" s="6">
        <v>2844.7427082969057</v>
      </c>
      <c r="D111" s="6">
        <v>707.43348171514072</v>
      </c>
      <c r="E111" s="4">
        <v>113.08</v>
      </c>
      <c r="F111" s="9">
        <v>68.8</v>
      </c>
      <c r="H111" s="1">
        <v>43682</v>
      </c>
      <c r="I111" s="3">
        <f t="shared" si="5"/>
        <v>-1.6486347243688888</v>
      </c>
      <c r="J111" s="3">
        <f t="shared" si="6"/>
        <v>-3.3707865168539399</v>
      </c>
      <c r="K111" s="3">
        <f t="shared" si="7"/>
        <v>-2.9775290943533999</v>
      </c>
      <c r="L111" s="3">
        <f t="shared" si="8"/>
        <v>-2.6337902276391683</v>
      </c>
      <c r="M111" s="3">
        <f t="shared" si="9"/>
        <v>-2.8856063208519402</v>
      </c>
    </row>
    <row r="112" spans="1:13" x14ac:dyDescent="0.15">
      <c r="A112" s="5">
        <v>43683</v>
      </c>
      <c r="B112" s="6">
        <v>134.52000000000001</v>
      </c>
      <c r="C112" s="6">
        <v>2881.7740741992161</v>
      </c>
      <c r="D112" s="6">
        <v>714.48878202199899</v>
      </c>
      <c r="E112" s="4">
        <v>114.28</v>
      </c>
      <c r="F112" s="9">
        <v>69.849999999999994</v>
      </c>
      <c r="H112" s="1">
        <v>43683</v>
      </c>
      <c r="I112" s="3">
        <f t="shared" si="5"/>
        <v>0.66601810970591546</v>
      </c>
      <c r="J112" s="3">
        <f t="shared" si="6"/>
        <v>1.5261627906976705</v>
      </c>
      <c r="K112" s="3">
        <f t="shared" si="7"/>
        <v>1.3017474583661177</v>
      </c>
      <c r="L112" s="3">
        <f t="shared" si="8"/>
        <v>0.9973093568815844</v>
      </c>
      <c r="M112" s="3">
        <f t="shared" si="9"/>
        <v>1.0611956137247991</v>
      </c>
    </row>
    <row r="113" spans="1:13" x14ac:dyDescent="0.15">
      <c r="A113" s="5">
        <v>43684</v>
      </c>
      <c r="B113" s="6">
        <v>136.13</v>
      </c>
      <c r="C113" s="6">
        <v>2883.9844170452166</v>
      </c>
      <c r="D113" s="6">
        <v>722.60083338119136</v>
      </c>
      <c r="E113" s="4">
        <v>115.52</v>
      </c>
      <c r="F113" s="9">
        <v>70.44</v>
      </c>
      <c r="H113" s="1">
        <v>43684</v>
      </c>
      <c r="I113" s="3">
        <f t="shared" si="5"/>
        <v>1.1968480523342144</v>
      </c>
      <c r="J113" s="3">
        <f t="shared" si="6"/>
        <v>0.84466714387974728</v>
      </c>
      <c r="K113" s="3">
        <f t="shared" si="7"/>
        <v>7.6700767967546712E-2</v>
      </c>
      <c r="L113" s="3">
        <f t="shared" si="8"/>
        <v>1.1353644120535136</v>
      </c>
      <c r="M113" s="3">
        <f t="shared" si="9"/>
        <v>1.085054252712631</v>
      </c>
    </row>
    <row r="114" spans="1:13" x14ac:dyDescent="0.15">
      <c r="A114" s="5">
        <v>43685</v>
      </c>
      <c r="B114" s="6">
        <v>138.54</v>
      </c>
      <c r="C114" s="6">
        <v>2938.0945262595137</v>
      </c>
      <c r="D114" s="6">
        <v>734.59199319148115</v>
      </c>
      <c r="E114" s="4">
        <v>117.44</v>
      </c>
      <c r="F114" s="9">
        <v>71.709999999999994</v>
      </c>
      <c r="H114" s="1">
        <v>43685</v>
      </c>
      <c r="I114" s="3">
        <f t="shared" si="5"/>
        <v>1.7703665613751536</v>
      </c>
      <c r="J114" s="3">
        <f t="shared" si="6"/>
        <v>1.8029528676888076</v>
      </c>
      <c r="K114" s="3">
        <f t="shared" si="7"/>
        <v>1.8762275168509965</v>
      </c>
      <c r="L114" s="3">
        <f t="shared" si="8"/>
        <v>1.6594445032924738</v>
      </c>
      <c r="M114" s="3">
        <f t="shared" si="9"/>
        <v>1.6620498614958463</v>
      </c>
    </row>
    <row r="115" spans="1:13" x14ac:dyDescent="0.15">
      <c r="A115" s="5">
        <v>43686</v>
      </c>
      <c r="B115" s="6">
        <v>138.37</v>
      </c>
      <c r="C115" s="6">
        <v>2918.6456020570922</v>
      </c>
      <c r="D115" s="6">
        <v>731.12145622163871</v>
      </c>
      <c r="E115" s="4">
        <v>116.78</v>
      </c>
      <c r="F115" s="9">
        <v>71.52</v>
      </c>
      <c r="H115" s="1">
        <v>43686</v>
      </c>
      <c r="I115" s="3">
        <f t="shared" si="5"/>
        <v>-0.12270824310667498</v>
      </c>
      <c r="J115" s="3">
        <f t="shared" si="6"/>
        <v>-0.26495607307209279</v>
      </c>
      <c r="K115" s="3">
        <f t="shared" si="7"/>
        <v>-0.66195706191869563</v>
      </c>
      <c r="L115" s="3">
        <f t="shared" si="8"/>
        <v>-0.47244415975247372</v>
      </c>
      <c r="M115" s="3">
        <f t="shared" si="9"/>
        <v>-0.5619891008174358</v>
      </c>
    </row>
    <row r="116" spans="1:13" x14ac:dyDescent="0.15">
      <c r="A116" s="5">
        <v>43689</v>
      </c>
      <c r="B116" s="6">
        <v>138.13</v>
      </c>
      <c r="C116" s="6">
        <v>2883.75</v>
      </c>
      <c r="D116" s="6">
        <v>726.93685734914811</v>
      </c>
      <c r="E116" s="4">
        <v>116.03</v>
      </c>
      <c r="F116" s="9">
        <v>70.73</v>
      </c>
      <c r="H116" s="1">
        <v>43689</v>
      </c>
      <c r="I116" s="3">
        <f t="shared" si="5"/>
        <v>-0.17344800173448657</v>
      </c>
      <c r="J116" s="3">
        <f t="shared" si="6"/>
        <v>-1.1045861297539039</v>
      </c>
      <c r="K116" s="3">
        <f t="shared" si="7"/>
        <v>-1.1956094303637765</v>
      </c>
      <c r="L116" s="3">
        <f t="shared" si="8"/>
        <v>-0.57235344919518261</v>
      </c>
      <c r="M116" s="3">
        <f t="shared" si="9"/>
        <v>-0.6422332591197123</v>
      </c>
    </row>
    <row r="117" spans="1:13" x14ac:dyDescent="0.15">
      <c r="A117" s="5">
        <v>43690</v>
      </c>
      <c r="B117" s="6">
        <v>139.41999999999999</v>
      </c>
      <c r="C117" s="6">
        <v>2926.3247709496181</v>
      </c>
      <c r="D117" s="6">
        <v>734.77287447155504</v>
      </c>
      <c r="E117" s="4">
        <v>117.25</v>
      </c>
      <c r="F117" s="9">
        <v>71.69</v>
      </c>
      <c r="H117" s="1">
        <v>43690</v>
      </c>
      <c r="I117" s="3">
        <f t="shared" si="5"/>
        <v>0.9339028451458713</v>
      </c>
      <c r="J117" s="3">
        <f t="shared" si="6"/>
        <v>1.3572741410999487</v>
      </c>
      <c r="K117" s="3">
        <f t="shared" si="7"/>
        <v>1.476368303411119</v>
      </c>
      <c r="L117" s="3">
        <f t="shared" si="8"/>
        <v>1.0779501745147153</v>
      </c>
      <c r="M117" s="3">
        <f t="shared" si="9"/>
        <v>1.0514522106351796</v>
      </c>
    </row>
    <row r="118" spans="1:13" x14ac:dyDescent="0.15">
      <c r="A118" s="5">
        <v>43691</v>
      </c>
      <c r="B118" s="6">
        <v>136.71</v>
      </c>
      <c r="C118" s="6">
        <v>2840.5982828209867</v>
      </c>
      <c r="D118" s="6">
        <v>724.82727882150766</v>
      </c>
      <c r="E118" s="4">
        <v>115.79</v>
      </c>
      <c r="F118" s="9">
        <v>70.52</v>
      </c>
      <c r="H118" s="1">
        <v>43691</v>
      </c>
      <c r="I118" s="3">
        <f t="shared" si="5"/>
        <v>-1.9437670348586857</v>
      </c>
      <c r="J118" s="3">
        <f t="shared" si="6"/>
        <v>-1.6320267819779632</v>
      </c>
      <c r="K118" s="3">
        <f t="shared" si="7"/>
        <v>-2.9294933009370814</v>
      </c>
      <c r="L118" s="3">
        <f t="shared" si="8"/>
        <v>-1.3535605349068176</v>
      </c>
      <c r="M118" s="3">
        <f t="shared" si="9"/>
        <v>-1.2452025586353892</v>
      </c>
    </row>
    <row r="119" spans="1:13" x14ac:dyDescent="0.15">
      <c r="A119" s="5">
        <v>43692</v>
      </c>
      <c r="B119" s="6">
        <v>139.27000000000001</v>
      </c>
      <c r="C119" s="6">
        <v>2847.5950637401747</v>
      </c>
      <c r="D119" s="6">
        <v>735.04062845507849</v>
      </c>
      <c r="E119" s="4">
        <v>117.39</v>
      </c>
      <c r="F119" s="9">
        <v>71.37</v>
      </c>
      <c r="H119" s="1">
        <v>43692</v>
      </c>
      <c r="I119" s="3">
        <f t="shared" si="5"/>
        <v>1.8725769877843628</v>
      </c>
      <c r="J119" s="3">
        <f t="shared" si="6"/>
        <v>1.2053318207600801</v>
      </c>
      <c r="K119" s="3">
        <f t="shared" si="7"/>
        <v>0.24631363616257509</v>
      </c>
      <c r="L119" s="3">
        <f t="shared" si="8"/>
        <v>1.4090735726967469</v>
      </c>
      <c r="M119" s="3">
        <f t="shared" si="9"/>
        <v>1.3818119008549912</v>
      </c>
    </row>
    <row r="120" spans="1:13" x14ac:dyDescent="0.15">
      <c r="A120" s="5">
        <v>43693</v>
      </c>
      <c r="B120" s="6">
        <v>140.72</v>
      </c>
      <c r="C120" s="6">
        <v>2888.677981429888</v>
      </c>
      <c r="D120" s="6">
        <v>745.3090677107092</v>
      </c>
      <c r="E120" s="4">
        <v>119.18</v>
      </c>
      <c r="F120" s="9">
        <v>72.28</v>
      </c>
      <c r="H120" s="1">
        <v>43693</v>
      </c>
      <c r="I120" s="3">
        <f t="shared" si="5"/>
        <v>1.0411431033244694</v>
      </c>
      <c r="J120" s="3">
        <f t="shared" si="6"/>
        <v>1.2750455373406144</v>
      </c>
      <c r="K120" s="3">
        <f t="shared" si="7"/>
        <v>1.4427233075672226</v>
      </c>
      <c r="L120" s="3">
        <f t="shared" si="8"/>
        <v>1.3969893442778938</v>
      </c>
      <c r="M120" s="3">
        <f t="shared" si="9"/>
        <v>1.5248317573899022</v>
      </c>
    </row>
    <row r="121" spans="1:13" x14ac:dyDescent="0.15">
      <c r="A121" s="5">
        <v>43696</v>
      </c>
      <c r="B121" s="6">
        <v>142.74</v>
      </c>
      <c r="C121" s="6">
        <v>2923.648225930589</v>
      </c>
      <c r="D121" s="6">
        <v>752.26370602900886</v>
      </c>
      <c r="E121" s="4">
        <v>120.24</v>
      </c>
      <c r="F121" s="9">
        <v>73.08</v>
      </c>
      <c r="H121" s="1">
        <v>43696</v>
      </c>
      <c r="I121" s="3">
        <f t="shared" si="5"/>
        <v>1.4354747015349703</v>
      </c>
      <c r="J121" s="3">
        <f t="shared" si="6"/>
        <v>1.1068068622025418</v>
      </c>
      <c r="K121" s="3">
        <f t="shared" si="7"/>
        <v>1.2105968448373345</v>
      </c>
      <c r="L121" s="3">
        <f t="shared" si="8"/>
        <v>0.93312138810567813</v>
      </c>
      <c r="M121" s="3">
        <f t="shared" si="9"/>
        <v>0.88941097499579458</v>
      </c>
    </row>
    <row r="122" spans="1:13" x14ac:dyDescent="0.15">
      <c r="A122" s="5">
        <v>43697</v>
      </c>
      <c r="B122" s="6">
        <v>140.15</v>
      </c>
      <c r="C122" s="6">
        <v>2900.5102677585041</v>
      </c>
      <c r="D122" s="6">
        <v>743.18816174858728</v>
      </c>
      <c r="E122" s="4">
        <v>118.9</v>
      </c>
      <c r="F122" s="9">
        <v>72.540000000000006</v>
      </c>
      <c r="H122" s="1">
        <v>43697</v>
      </c>
      <c r="I122" s="3">
        <f t="shared" si="5"/>
        <v>-1.8144878800616528</v>
      </c>
      <c r="J122" s="3">
        <f t="shared" si="6"/>
        <v>-0.73891625615762457</v>
      </c>
      <c r="K122" s="3">
        <f t="shared" si="7"/>
        <v>-0.79140704982454213</v>
      </c>
      <c r="L122" s="3">
        <f t="shared" si="8"/>
        <v>-1.2064312298580586</v>
      </c>
      <c r="M122" s="3">
        <f t="shared" si="9"/>
        <v>-1.1144377910844887</v>
      </c>
    </row>
    <row r="123" spans="1:13" x14ac:dyDescent="0.15">
      <c r="A123" s="5">
        <v>43698</v>
      </c>
      <c r="B123" s="6">
        <v>141.91</v>
      </c>
      <c r="C123" s="6">
        <v>2924.4303174900924</v>
      </c>
      <c r="D123" s="6">
        <v>745.6120112700039</v>
      </c>
      <c r="E123" s="4">
        <v>119.2</v>
      </c>
      <c r="F123" s="9">
        <v>72.61</v>
      </c>
      <c r="H123" s="1">
        <v>43698</v>
      </c>
      <c r="I123" s="3">
        <f t="shared" si="5"/>
        <v>1.2557973599714527</v>
      </c>
      <c r="J123" s="3">
        <f t="shared" si="6"/>
        <v>9.6498483595248374E-2</v>
      </c>
      <c r="K123" s="3">
        <f t="shared" si="7"/>
        <v>0.82468419427708284</v>
      </c>
      <c r="L123" s="3">
        <f t="shared" si="8"/>
        <v>0.32614210588523751</v>
      </c>
      <c r="M123" s="3">
        <f t="shared" si="9"/>
        <v>0.25231286795626334</v>
      </c>
    </row>
    <row r="124" spans="1:13" x14ac:dyDescent="0.15">
      <c r="A124" s="5">
        <v>43699</v>
      </c>
      <c r="B124" s="6">
        <v>141.78</v>
      </c>
      <c r="C124" s="6">
        <v>2922.9523576930023</v>
      </c>
      <c r="D124" s="6">
        <v>747.46865435650773</v>
      </c>
      <c r="E124" s="4">
        <v>119.42</v>
      </c>
      <c r="F124" s="9">
        <v>73.040000000000006</v>
      </c>
      <c r="H124" s="1">
        <v>43699</v>
      </c>
      <c r="I124" s="3">
        <f t="shared" si="5"/>
        <v>-9.1607356775417842E-2</v>
      </c>
      <c r="J124" s="3">
        <f t="shared" si="6"/>
        <v>0.5922049304503606</v>
      </c>
      <c r="K124" s="3">
        <f t="shared" si="7"/>
        <v>-5.0538383091259499E-2</v>
      </c>
      <c r="L124" s="3">
        <f t="shared" si="8"/>
        <v>0.24900927807498638</v>
      </c>
      <c r="M124" s="3">
        <f t="shared" si="9"/>
        <v>0.18456375838926078</v>
      </c>
    </row>
    <row r="125" spans="1:13" x14ac:dyDescent="0.15">
      <c r="A125" s="5">
        <v>43700</v>
      </c>
      <c r="B125" s="6">
        <v>138.41</v>
      </c>
      <c r="C125" s="6">
        <v>2847.1109835578504</v>
      </c>
      <c r="D125" s="6">
        <v>734.64562843258238</v>
      </c>
      <c r="E125" s="4">
        <v>117.32</v>
      </c>
      <c r="F125" s="9">
        <v>72.23</v>
      </c>
      <c r="H125" s="1">
        <v>43700</v>
      </c>
      <c r="I125" s="3">
        <f t="shared" si="5"/>
        <v>-2.3769219918183131</v>
      </c>
      <c r="J125" s="3">
        <f t="shared" si="6"/>
        <v>-1.1089813800657204</v>
      </c>
      <c r="K125" s="3">
        <f t="shared" si="7"/>
        <v>-2.5946838967642707</v>
      </c>
      <c r="L125" s="3">
        <f t="shared" si="8"/>
        <v>-1.7155269119565455</v>
      </c>
      <c r="M125" s="3">
        <f t="shared" si="9"/>
        <v>-1.7584994138335357</v>
      </c>
    </row>
    <row r="126" spans="1:13" x14ac:dyDescent="0.15">
      <c r="A126" s="5">
        <v>43703</v>
      </c>
      <c r="B126" s="6">
        <v>140.25</v>
      </c>
      <c r="C126" s="6">
        <v>2878.3838848430109</v>
      </c>
      <c r="D126" s="6">
        <v>745.26430616163645</v>
      </c>
      <c r="E126" s="4">
        <v>119.32</v>
      </c>
      <c r="F126" s="9">
        <v>72.77</v>
      </c>
      <c r="H126" s="1">
        <v>43703</v>
      </c>
      <c r="I126" s="3">
        <f t="shared" si="5"/>
        <v>1.3293837150494932</v>
      </c>
      <c r="J126" s="3">
        <f t="shared" si="6"/>
        <v>0.74761179565276481</v>
      </c>
      <c r="K126" s="3">
        <f t="shared" si="7"/>
        <v>1.0984082273491422</v>
      </c>
      <c r="L126" s="3">
        <f t="shared" si="8"/>
        <v>1.4454149481171974</v>
      </c>
      <c r="M126" s="3">
        <f t="shared" si="9"/>
        <v>1.7047391749062395</v>
      </c>
    </row>
    <row r="127" spans="1:13" x14ac:dyDescent="0.15">
      <c r="A127" s="5">
        <v>43704</v>
      </c>
      <c r="B127" s="6">
        <v>141.13999999999999</v>
      </c>
      <c r="C127" s="6">
        <v>2869.1561113139273</v>
      </c>
      <c r="D127" s="6">
        <v>752.43071390788396</v>
      </c>
      <c r="E127" s="4">
        <v>120.55</v>
      </c>
      <c r="F127" s="9">
        <v>73.44</v>
      </c>
      <c r="H127" s="1">
        <v>43704</v>
      </c>
      <c r="I127" s="3">
        <f t="shared" si="5"/>
        <v>0.63458110516933075</v>
      </c>
      <c r="J127" s="3">
        <f t="shared" si="6"/>
        <v>0.92070908341349689</v>
      </c>
      <c r="K127" s="3">
        <f t="shared" si="7"/>
        <v>-0.32058870179461468</v>
      </c>
      <c r="L127" s="3">
        <f t="shared" si="8"/>
        <v>0.96159277815905697</v>
      </c>
      <c r="M127" s="3">
        <f t="shared" si="9"/>
        <v>1.0308414347971873</v>
      </c>
    </row>
    <row r="128" spans="1:13" x14ac:dyDescent="0.15">
      <c r="A128" s="5">
        <v>43705</v>
      </c>
      <c r="B128" s="6">
        <v>141.94999999999999</v>
      </c>
      <c r="C128" s="6">
        <v>2887.9387900043421</v>
      </c>
      <c r="D128" s="6">
        <v>757.73436342902846</v>
      </c>
      <c r="E128" s="4">
        <v>121.4</v>
      </c>
      <c r="F128" s="9">
        <v>74</v>
      </c>
      <c r="H128" s="1">
        <v>43705</v>
      </c>
      <c r="I128" s="3">
        <f t="shared" si="5"/>
        <v>0.57389825704973951</v>
      </c>
      <c r="J128" s="3">
        <f t="shared" si="6"/>
        <v>0.76252723311547155</v>
      </c>
      <c r="K128" s="3">
        <f t="shared" si="7"/>
        <v>0.65464122416863646</v>
      </c>
      <c r="L128" s="3">
        <f t="shared" si="8"/>
        <v>0.7048688235490882</v>
      </c>
      <c r="M128" s="3">
        <f t="shared" si="9"/>
        <v>0.70510161758607104</v>
      </c>
    </row>
    <row r="129" spans="1:13" x14ac:dyDescent="0.15">
      <c r="A129" s="5">
        <v>43706</v>
      </c>
      <c r="B129" s="6">
        <v>141.84</v>
      </c>
      <c r="C129" s="6">
        <v>2924.5770989022708</v>
      </c>
      <c r="D129" s="6">
        <v>756.74430007049568</v>
      </c>
      <c r="E129" s="4">
        <v>121.18</v>
      </c>
      <c r="F129" s="9">
        <v>74.2</v>
      </c>
      <c r="H129" s="1">
        <v>43706</v>
      </c>
      <c r="I129" s="3">
        <f t="shared" si="5"/>
        <v>-7.7492074674170644E-2</v>
      </c>
      <c r="J129" s="3">
        <f t="shared" si="6"/>
        <v>0.27027027027027412</v>
      </c>
      <c r="K129" s="3">
        <f t="shared" si="7"/>
        <v>1.2686663936486555</v>
      </c>
      <c r="L129" s="3">
        <f t="shared" si="8"/>
        <v>-0.13066100817341533</v>
      </c>
      <c r="M129" s="3">
        <f t="shared" si="9"/>
        <v>-0.18121911037891175</v>
      </c>
    </row>
    <row r="130" spans="1:13" x14ac:dyDescent="0.15">
      <c r="A130" s="5">
        <v>43707</v>
      </c>
      <c r="B130" s="6">
        <v>141.11000000000001</v>
      </c>
      <c r="C130" s="6">
        <v>2926.4581286088824</v>
      </c>
      <c r="D130" s="6">
        <v>752.01440976529932</v>
      </c>
      <c r="E130" s="4">
        <v>120.23</v>
      </c>
      <c r="F130" s="9">
        <v>74.150000000000006</v>
      </c>
      <c r="H130" s="1">
        <v>43707</v>
      </c>
      <c r="I130" s="3">
        <f t="shared" si="5"/>
        <v>-0.51466441060348966</v>
      </c>
      <c r="J130" s="3">
        <f t="shared" si="6"/>
        <v>-6.7385444743931475E-2</v>
      </c>
      <c r="K130" s="3">
        <f t="shared" si="7"/>
        <v>6.4318007116913017E-2</v>
      </c>
      <c r="L130" s="3">
        <f t="shared" si="8"/>
        <v>-0.62503150730778456</v>
      </c>
      <c r="M130" s="3">
        <f t="shared" si="9"/>
        <v>-0.78395774880343527</v>
      </c>
    </row>
    <row r="131" spans="1:13" x14ac:dyDescent="0.15">
      <c r="A131" s="5">
        <v>43711</v>
      </c>
      <c r="B131" s="6">
        <v>141.51</v>
      </c>
      <c r="C131" s="6">
        <v>2906.2711064674472</v>
      </c>
      <c r="D131" s="6">
        <v>758.09160232434715</v>
      </c>
      <c r="E131" s="4">
        <v>121.36</v>
      </c>
      <c r="F131" s="9">
        <v>74.31</v>
      </c>
      <c r="H131" s="1">
        <v>43711</v>
      </c>
      <c r="I131" s="3">
        <f t="shared" si="5"/>
        <v>0.28346679895115673</v>
      </c>
      <c r="J131" s="3">
        <f t="shared" si="6"/>
        <v>0.21577882670262516</v>
      </c>
      <c r="K131" s="3">
        <f t="shared" si="7"/>
        <v>-0.6898107286787396</v>
      </c>
      <c r="L131" s="3">
        <f t="shared" si="8"/>
        <v>0.80812182321672499</v>
      </c>
      <c r="M131" s="3">
        <f t="shared" si="9"/>
        <v>0.93986525825500744</v>
      </c>
    </row>
    <row r="132" spans="1:13" x14ac:dyDescent="0.15">
      <c r="A132" s="5">
        <v>43712</v>
      </c>
      <c r="B132" s="6">
        <v>142.68</v>
      </c>
      <c r="C132" s="6">
        <v>2937.7790248924434</v>
      </c>
      <c r="D132" s="6">
        <v>767.80519311357182</v>
      </c>
      <c r="E132" s="4">
        <v>123.21</v>
      </c>
      <c r="F132" s="9">
        <v>74.87</v>
      </c>
      <c r="H132" s="1">
        <v>43712</v>
      </c>
      <c r="I132" s="3">
        <f t="shared" si="5"/>
        <v>0.82679669281324009</v>
      </c>
      <c r="J132" s="3">
        <f t="shared" si="6"/>
        <v>0.75359978468577893</v>
      </c>
      <c r="K132" s="3">
        <f t="shared" si="7"/>
        <v>1.0841355562074133</v>
      </c>
      <c r="L132" s="3">
        <f t="shared" si="8"/>
        <v>1.2813215130522893</v>
      </c>
      <c r="M132" s="3">
        <f t="shared" si="9"/>
        <v>1.5243902439024344</v>
      </c>
    </row>
    <row r="133" spans="1:13" x14ac:dyDescent="0.15">
      <c r="A133" s="5">
        <v>43713</v>
      </c>
      <c r="B133" s="6">
        <v>139.47999999999999</v>
      </c>
      <c r="C133" s="6">
        <v>2975.99744554974</v>
      </c>
      <c r="D133" s="6">
        <v>761.72940951975818</v>
      </c>
      <c r="E133" s="4">
        <v>122.76</v>
      </c>
      <c r="F133" s="9">
        <v>74.290000000000006</v>
      </c>
      <c r="H133" s="1">
        <v>43713</v>
      </c>
      <c r="I133" s="3">
        <f t="shared" ref="I133:I196" si="10">((B133-B132)/B132)*100</f>
        <v>-2.2427810485001523</v>
      </c>
      <c r="J133" s="3">
        <f t="shared" ref="J133:J196" si="11">((F133-F132)/F132)*100</f>
        <v>-0.77467610524909603</v>
      </c>
      <c r="K133" s="3">
        <f t="shared" ref="K133:K196" si="12">((C133-C132)/C132)*100</f>
        <v>1.3009290465165519</v>
      </c>
      <c r="L133" s="3">
        <f t="shared" ref="L133:L196" si="13">((D133-D132)/D132)*100</f>
        <v>-0.7913183771492055</v>
      </c>
      <c r="M133" s="3">
        <f t="shared" ref="M133:M196" si="14">((E133-E132)/E132)*100</f>
        <v>-0.36523009495981545</v>
      </c>
    </row>
    <row r="134" spans="1:13" x14ac:dyDescent="0.15">
      <c r="A134" s="5">
        <v>43714</v>
      </c>
      <c r="B134" s="6">
        <v>138.05000000000001</v>
      </c>
      <c r="C134" s="6">
        <v>2978.7078106171421</v>
      </c>
      <c r="D134" s="6">
        <v>761.26837329277498</v>
      </c>
      <c r="E134" s="4">
        <v>122.87</v>
      </c>
      <c r="F134" s="9">
        <v>74.7</v>
      </c>
      <c r="H134" s="1">
        <v>43714</v>
      </c>
      <c r="I134" s="3">
        <f t="shared" si="10"/>
        <v>-1.0252365930599214</v>
      </c>
      <c r="J134" s="3">
        <f t="shared" si="11"/>
        <v>0.551891237044012</v>
      </c>
      <c r="K134" s="3">
        <f t="shared" si="12"/>
        <v>9.1074173180328025E-2</v>
      </c>
      <c r="L134" s="3">
        <f t="shared" si="13"/>
        <v>-6.0524934605565871E-2</v>
      </c>
      <c r="M134" s="3">
        <f t="shared" si="14"/>
        <v>8.9605734767024617E-2</v>
      </c>
    </row>
    <row r="135" spans="1:13" x14ac:dyDescent="0.15">
      <c r="A135" s="5">
        <v>43717</v>
      </c>
      <c r="B135" s="6">
        <v>133.27000000000001</v>
      </c>
      <c r="C135" s="6">
        <v>2978.4337960358221</v>
      </c>
      <c r="D135" s="6">
        <v>751.77647199253431</v>
      </c>
      <c r="E135" s="4">
        <v>122.17</v>
      </c>
      <c r="F135" s="9">
        <v>73.19</v>
      </c>
      <c r="H135" s="1">
        <v>43717</v>
      </c>
      <c r="I135" s="3">
        <f t="shared" si="10"/>
        <v>-3.4625135820354953</v>
      </c>
      <c r="J135" s="3">
        <f t="shared" si="11"/>
        <v>-2.0214190093708231</v>
      </c>
      <c r="K135" s="3">
        <f t="shared" si="12"/>
        <v>-9.1991091017153918E-3</v>
      </c>
      <c r="L135" s="3">
        <f t="shared" si="13"/>
        <v>-1.2468534925711665</v>
      </c>
      <c r="M135" s="3">
        <f t="shared" si="14"/>
        <v>-0.56970782127452013</v>
      </c>
    </row>
    <row r="136" spans="1:13" x14ac:dyDescent="0.15">
      <c r="A136" s="5">
        <v>43718</v>
      </c>
      <c r="B136" s="6">
        <v>131.15</v>
      </c>
      <c r="C136" s="6">
        <v>2979.3855462978045</v>
      </c>
      <c r="D136" s="6">
        <v>738.66890080234577</v>
      </c>
      <c r="E136" s="4">
        <v>119.88</v>
      </c>
      <c r="F136" s="9">
        <v>72.12</v>
      </c>
      <c r="H136" s="1">
        <v>43718</v>
      </c>
      <c r="I136" s="3">
        <f t="shared" si="10"/>
        <v>-1.5907556089142374</v>
      </c>
      <c r="J136" s="3">
        <f t="shared" si="11"/>
        <v>-1.4619483536002091</v>
      </c>
      <c r="K136" s="3">
        <f t="shared" si="12"/>
        <v>3.1954722755601933E-2</v>
      </c>
      <c r="L136" s="3">
        <f t="shared" si="13"/>
        <v>-1.7435463436954575</v>
      </c>
      <c r="M136" s="3">
        <f t="shared" si="14"/>
        <v>-1.8744372595563612</v>
      </c>
    </row>
    <row r="137" spans="1:13" x14ac:dyDescent="0.15">
      <c r="A137" s="5">
        <v>43719</v>
      </c>
      <c r="B137" s="6">
        <v>131.91</v>
      </c>
      <c r="C137" s="6">
        <v>3000.926355136351</v>
      </c>
      <c r="D137" s="6">
        <v>746.17811736431963</v>
      </c>
      <c r="E137" s="4">
        <v>121.27</v>
      </c>
      <c r="F137" s="9">
        <v>72.849999999999994</v>
      </c>
      <c r="H137" s="1">
        <v>43719</v>
      </c>
      <c r="I137" s="3">
        <f t="shared" si="10"/>
        <v>0.57948913457871964</v>
      </c>
      <c r="J137" s="3">
        <f t="shared" si="11"/>
        <v>1.0122018857459647</v>
      </c>
      <c r="K137" s="3">
        <f t="shared" si="12"/>
        <v>0.72299501034074865</v>
      </c>
      <c r="L137" s="3">
        <f t="shared" si="13"/>
        <v>1.0165876150758899</v>
      </c>
      <c r="M137" s="3">
        <f t="shared" si="14"/>
        <v>1.1594928261594935</v>
      </c>
    </row>
    <row r="138" spans="1:13" x14ac:dyDescent="0.15">
      <c r="A138" s="5">
        <v>43720</v>
      </c>
      <c r="B138" s="6">
        <v>133.58000000000001</v>
      </c>
      <c r="C138" s="6">
        <v>3009.5718752192215</v>
      </c>
      <c r="D138" s="6">
        <v>753.15823140033001</v>
      </c>
      <c r="E138" s="4">
        <v>122.77</v>
      </c>
      <c r="F138" s="9">
        <v>72.290000000000006</v>
      </c>
      <c r="H138" s="1">
        <v>43720</v>
      </c>
      <c r="I138" s="3">
        <f t="shared" si="10"/>
        <v>1.2660147069972072</v>
      </c>
      <c r="J138" s="3">
        <f t="shared" si="11"/>
        <v>-0.76870281400135632</v>
      </c>
      <c r="K138" s="3">
        <f t="shared" si="12"/>
        <v>0.2880950433213027</v>
      </c>
      <c r="L138" s="3">
        <f t="shared" si="13"/>
        <v>0.93544877202588261</v>
      </c>
      <c r="M138" s="3">
        <f t="shared" si="14"/>
        <v>1.2369093757730683</v>
      </c>
    </row>
    <row r="139" spans="1:13" x14ac:dyDescent="0.15">
      <c r="A139" s="5">
        <v>43721</v>
      </c>
      <c r="B139" s="6">
        <v>132.41</v>
      </c>
      <c r="C139" s="6">
        <v>3007.3873736277542</v>
      </c>
      <c r="D139" s="6">
        <v>746.99907194804427</v>
      </c>
      <c r="E139" s="4">
        <v>122.12</v>
      </c>
      <c r="F139" s="9">
        <v>70.709999999999994</v>
      </c>
      <c r="H139" s="1">
        <v>43721</v>
      </c>
      <c r="I139" s="3">
        <f t="shared" si="10"/>
        <v>-0.87587962269802044</v>
      </c>
      <c r="J139" s="3">
        <f t="shared" si="11"/>
        <v>-2.1856411675197291</v>
      </c>
      <c r="K139" s="3">
        <f t="shared" si="12"/>
        <v>-7.258512778692823E-2</v>
      </c>
      <c r="L139" s="3">
        <f t="shared" si="13"/>
        <v>-0.817777619031548</v>
      </c>
      <c r="M139" s="3">
        <f t="shared" si="14"/>
        <v>-0.52944530422741021</v>
      </c>
    </row>
    <row r="140" spans="1:13" x14ac:dyDescent="0.15">
      <c r="A140" s="5">
        <v>43724</v>
      </c>
      <c r="B140" s="6">
        <v>128.78</v>
      </c>
      <c r="C140" s="6">
        <v>2997.9595912212417</v>
      </c>
      <c r="D140" s="6">
        <v>732.32207919887901</v>
      </c>
      <c r="E140" s="4">
        <v>119.75</v>
      </c>
      <c r="F140" s="9">
        <v>69.430000000000007</v>
      </c>
      <c r="H140" s="1">
        <v>43724</v>
      </c>
      <c r="I140" s="3">
        <f t="shared" si="10"/>
        <v>-2.7414847821161508</v>
      </c>
      <c r="J140" s="3">
        <f t="shared" si="11"/>
        <v>-1.8102107198415884</v>
      </c>
      <c r="K140" s="3">
        <f t="shared" si="12"/>
        <v>-0.31348746387599385</v>
      </c>
      <c r="L140" s="3">
        <f t="shared" si="13"/>
        <v>-1.9647939736913205</v>
      </c>
      <c r="M140" s="3">
        <f t="shared" si="14"/>
        <v>-1.9407140517523784</v>
      </c>
    </row>
    <row r="141" spans="1:13" x14ac:dyDescent="0.15">
      <c r="A141" s="5">
        <v>43725</v>
      </c>
      <c r="B141" s="6">
        <v>131.91999999999999</v>
      </c>
      <c r="C141" s="6">
        <v>3005.6964617529316</v>
      </c>
      <c r="D141" s="6">
        <v>741.11333885187435</v>
      </c>
      <c r="E141" s="4">
        <v>121.16</v>
      </c>
      <c r="F141" s="9">
        <v>69.86</v>
      </c>
      <c r="H141" s="1">
        <v>43725</v>
      </c>
      <c r="I141" s="3">
        <f t="shared" si="10"/>
        <v>2.4382668116167001</v>
      </c>
      <c r="J141" s="3">
        <f t="shared" si="11"/>
        <v>0.61932882039463133</v>
      </c>
      <c r="K141" s="3">
        <f t="shared" si="12"/>
        <v>0.25807120797576194</v>
      </c>
      <c r="L141" s="3">
        <f t="shared" si="13"/>
        <v>1.2004635532240817</v>
      </c>
      <c r="M141" s="3">
        <f t="shared" si="14"/>
        <v>1.177453027139872</v>
      </c>
    </row>
    <row r="142" spans="1:13" x14ac:dyDescent="0.15">
      <c r="A142" s="5">
        <v>43726</v>
      </c>
      <c r="B142" s="6">
        <v>133.09</v>
      </c>
      <c r="C142" s="6">
        <v>3006.729985500393</v>
      </c>
      <c r="D142" s="6">
        <v>744.16640607519389</v>
      </c>
      <c r="E142" s="4">
        <v>121.41</v>
      </c>
      <c r="F142" s="9">
        <v>70.75</v>
      </c>
      <c r="H142" s="1">
        <v>43726</v>
      </c>
      <c r="I142" s="3">
        <f t="shared" si="10"/>
        <v>0.88690115221347487</v>
      </c>
      <c r="J142" s="3">
        <f t="shared" si="11"/>
        <v>1.2739765244775274</v>
      </c>
      <c r="K142" s="3">
        <f t="shared" si="12"/>
        <v>3.4385499687440313E-2</v>
      </c>
      <c r="L142" s="3">
        <f t="shared" si="13"/>
        <v>0.4119568577795843</v>
      </c>
      <c r="M142" s="3">
        <f t="shared" si="14"/>
        <v>0.2063387256520304</v>
      </c>
    </row>
    <row r="143" spans="1:13" x14ac:dyDescent="0.15">
      <c r="A143" s="5">
        <v>43727</v>
      </c>
      <c r="B143" s="6">
        <v>134.12</v>
      </c>
      <c r="C143" s="6">
        <v>3006.790781830704</v>
      </c>
      <c r="D143" s="6">
        <v>746.72409510672014</v>
      </c>
      <c r="E143" s="4">
        <v>121.9</v>
      </c>
      <c r="F143" s="9">
        <v>70.95</v>
      </c>
      <c r="H143" s="1">
        <v>43727</v>
      </c>
      <c r="I143" s="3">
        <f t="shared" si="10"/>
        <v>0.77391239011195523</v>
      </c>
      <c r="J143" s="3">
        <f t="shared" si="11"/>
        <v>0.28268551236749517</v>
      </c>
      <c r="K143" s="3">
        <f t="shared" si="12"/>
        <v>2.0220083148181998E-3</v>
      </c>
      <c r="L143" s="3">
        <f t="shared" si="13"/>
        <v>0.34369853444685211</v>
      </c>
      <c r="M143" s="3">
        <f t="shared" si="14"/>
        <v>0.40359113746809083</v>
      </c>
    </row>
    <row r="144" spans="1:13" x14ac:dyDescent="0.15">
      <c r="A144" s="5">
        <v>43728</v>
      </c>
      <c r="B144" s="6">
        <v>135.04</v>
      </c>
      <c r="C144" s="6">
        <v>2992.0722935071785</v>
      </c>
      <c r="D144" s="6">
        <v>748.16168920980749</v>
      </c>
      <c r="E144" s="4">
        <v>122.24</v>
      </c>
      <c r="F144" s="9">
        <v>70.95</v>
      </c>
      <c r="H144" s="1">
        <v>43728</v>
      </c>
      <c r="I144" s="3">
        <f t="shared" si="10"/>
        <v>0.68595287801967453</v>
      </c>
      <c r="J144" s="3">
        <f t="shared" si="11"/>
        <v>0</v>
      </c>
      <c r="K144" s="3">
        <f t="shared" si="12"/>
        <v>-0.48950822958702789</v>
      </c>
      <c r="L144" s="3">
        <f t="shared" si="13"/>
        <v>0.19252011720364956</v>
      </c>
      <c r="M144" s="3">
        <f t="shared" si="14"/>
        <v>0.27891714520097555</v>
      </c>
    </row>
    <row r="145" spans="1:13" x14ac:dyDescent="0.15">
      <c r="A145" s="5">
        <v>43731</v>
      </c>
      <c r="B145" s="6">
        <v>136.83000000000001</v>
      </c>
      <c r="C145" s="6">
        <v>2991.7790334705755</v>
      </c>
      <c r="D145" s="6">
        <v>753.94561775259081</v>
      </c>
      <c r="E145" s="4">
        <v>123.22</v>
      </c>
      <c r="F145" s="9">
        <v>71.5</v>
      </c>
      <c r="H145" s="1">
        <v>43731</v>
      </c>
      <c r="I145" s="3">
        <f t="shared" si="10"/>
        <v>1.3255331753554656</v>
      </c>
      <c r="J145" s="3">
        <f t="shared" si="11"/>
        <v>0.77519379844960845</v>
      </c>
      <c r="K145" s="3">
        <f t="shared" si="12"/>
        <v>-9.8012349915262437E-3</v>
      </c>
      <c r="L145" s="3">
        <f t="shared" si="13"/>
        <v>0.773085367267626</v>
      </c>
      <c r="M145" s="3">
        <f t="shared" si="14"/>
        <v>0.80170157068063153</v>
      </c>
    </row>
    <row r="146" spans="1:13" x14ac:dyDescent="0.15">
      <c r="A146" s="5">
        <v>43732</v>
      </c>
      <c r="B146" s="6">
        <v>137.80000000000001</v>
      </c>
      <c r="C146" s="6">
        <v>2966.5960039121405</v>
      </c>
      <c r="D146" s="6">
        <v>757.8948604827583</v>
      </c>
      <c r="E146" s="4">
        <v>123.61</v>
      </c>
      <c r="F146" s="9">
        <v>72.489999999999995</v>
      </c>
      <c r="H146" s="1">
        <v>43732</v>
      </c>
      <c r="I146" s="3">
        <f t="shared" si="10"/>
        <v>0.70890886501498118</v>
      </c>
      <c r="J146" s="3">
        <f t="shared" si="11"/>
        <v>1.3846153846153775</v>
      </c>
      <c r="K146" s="3">
        <f t="shared" si="12"/>
        <v>-0.84174096003412913</v>
      </c>
      <c r="L146" s="3">
        <f t="shared" si="13"/>
        <v>0.52381002517657083</v>
      </c>
      <c r="M146" s="3">
        <f t="shared" si="14"/>
        <v>0.31650706054212024</v>
      </c>
    </row>
    <row r="147" spans="1:13" x14ac:dyDescent="0.15">
      <c r="A147" s="5">
        <v>43733</v>
      </c>
      <c r="B147" s="6">
        <v>137.58000000000001</v>
      </c>
      <c r="C147" s="6">
        <v>2984.8683331356365</v>
      </c>
      <c r="D147" s="6">
        <v>754.73928758407283</v>
      </c>
      <c r="E147" s="4">
        <v>123.02</v>
      </c>
      <c r="F147" s="9">
        <v>72.239999999999995</v>
      </c>
      <c r="H147" s="1">
        <v>43733</v>
      </c>
      <c r="I147" s="3">
        <f t="shared" si="10"/>
        <v>-0.15965166908563053</v>
      </c>
      <c r="J147" s="3">
        <f t="shared" si="11"/>
        <v>-0.34487515519381984</v>
      </c>
      <c r="K147" s="3">
        <f t="shared" si="12"/>
        <v>0.61593588069961902</v>
      </c>
      <c r="L147" s="3">
        <f t="shared" si="13"/>
        <v>-0.41636024509725056</v>
      </c>
      <c r="M147" s="3">
        <f t="shared" si="14"/>
        <v>-0.47730766119246293</v>
      </c>
    </row>
    <row r="148" spans="1:13" x14ac:dyDescent="0.15">
      <c r="A148" s="5">
        <v>43734</v>
      </c>
      <c r="B148" s="6">
        <v>140.11000000000001</v>
      </c>
      <c r="C148" s="6">
        <v>2977.6174364771396</v>
      </c>
      <c r="D148" s="6">
        <v>762.69664662209129</v>
      </c>
      <c r="E148" s="4">
        <v>124.31</v>
      </c>
      <c r="F148" s="9">
        <v>72.72</v>
      </c>
      <c r="H148" s="1">
        <v>43734</v>
      </c>
      <c r="I148" s="3">
        <f t="shared" si="10"/>
        <v>1.8389300770460828</v>
      </c>
      <c r="J148" s="3">
        <f t="shared" si="11"/>
        <v>0.66445182724253049</v>
      </c>
      <c r="K148" s="3">
        <f t="shared" si="12"/>
        <v>-0.24292182599825995</v>
      </c>
      <c r="L148" s="3">
        <f t="shared" si="13"/>
        <v>1.0543189110361597</v>
      </c>
      <c r="M148" s="3">
        <f t="shared" si="14"/>
        <v>1.0486099821167341</v>
      </c>
    </row>
    <row r="149" spans="1:13" x14ac:dyDescent="0.15">
      <c r="A149" s="5">
        <v>43735</v>
      </c>
      <c r="B149" s="6">
        <v>142.06</v>
      </c>
      <c r="C149" s="6">
        <v>2961.7931162999603</v>
      </c>
      <c r="D149" s="6">
        <v>766.5176571615807</v>
      </c>
      <c r="E149" s="4">
        <v>124.57</v>
      </c>
      <c r="F149" s="9">
        <v>73.260000000000005</v>
      </c>
      <c r="H149" s="1">
        <v>43735</v>
      </c>
      <c r="I149" s="3">
        <f t="shared" si="10"/>
        <v>1.3917636143030394</v>
      </c>
      <c r="J149" s="3">
        <f t="shared" si="11"/>
        <v>0.74257425742575123</v>
      </c>
      <c r="K149" s="3">
        <f t="shared" si="12"/>
        <v>-0.53144235331659195</v>
      </c>
      <c r="L149" s="3">
        <f t="shared" si="13"/>
        <v>0.50098693319451293</v>
      </c>
      <c r="M149" s="3">
        <f t="shared" si="14"/>
        <v>0.20915453302227568</v>
      </c>
    </row>
    <row r="150" spans="1:13" x14ac:dyDescent="0.15">
      <c r="A150" s="5">
        <v>43738</v>
      </c>
      <c r="B150" s="6">
        <v>142.05000000000001</v>
      </c>
      <c r="C150" s="6">
        <v>2976.7372717443327</v>
      </c>
      <c r="D150" s="6">
        <v>765.73673456708639</v>
      </c>
      <c r="E150" s="4">
        <v>124.38</v>
      </c>
      <c r="F150" s="9">
        <v>73.510000000000005</v>
      </c>
      <c r="H150" s="1">
        <v>43738</v>
      </c>
      <c r="I150" s="3">
        <f t="shared" si="10"/>
        <v>-7.0392791778057899E-3</v>
      </c>
      <c r="J150" s="3">
        <f t="shared" si="11"/>
        <v>0.34125034125034126</v>
      </c>
      <c r="K150" s="3">
        <f t="shared" si="12"/>
        <v>0.50456446002688782</v>
      </c>
      <c r="L150" s="3">
        <f t="shared" si="13"/>
        <v>-0.10187927012484939</v>
      </c>
      <c r="M150" s="3">
        <f t="shared" si="14"/>
        <v>-0.1525246849161096</v>
      </c>
    </row>
    <row r="151" spans="1:13" x14ac:dyDescent="0.15">
      <c r="A151" s="5">
        <v>43739</v>
      </c>
      <c r="B151" s="6">
        <v>141.66</v>
      </c>
      <c r="C151" s="6">
        <v>2940.2485884777147</v>
      </c>
      <c r="D151" s="6">
        <v>760.78112667128653</v>
      </c>
      <c r="E151" s="4">
        <v>123.85</v>
      </c>
      <c r="F151" s="9">
        <v>71.73</v>
      </c>
      <c r="H151" s="1">
        <v>43739</v>
      </c>
      <c r="I151" s="3">
        <f t="shared" si="10"/>
        <v>-0.27455121436115082</v>
      </c>
      <c r="J151" s="3">
        <f t="shared" si="11"/>
        <v>-2.4214392599646319</v>
      </c>
      <c r="K151" s="3">
        <f t="shared" si="12"/>
        <v>-1.2257945507309087</v>
      </c>
      <c r="L151" s="3">
        <f t="shared" si="13"/>
        <v>-0.64716862494543104</v>
      </c>
      <c r="M151" s="3">
        <f t="shared" si="14"/>
        <v>-0.42611352307445016</v>
      </c>
    </row>
    <row r="152" spans="1:13" x14ac:dyDescent="0.15">
      <c r="A152" s="5">
        <v>43740</v>
      </c>
      <c r="B152" s="6">
        <v>139.79</v>
      </c>
      <c r="C152" s="6">
        <v>2887.606504162995</v>
      </c>
      <c r="D152" s="6">
        <v>745.77599921789965</v>
      </c>
      <c r="E152" s="4">
        <v>121.08</v>
      </c>
      <c r="F152" s="9">
        <v>70.52</v>
      </c>
      <c r="H152" s="1">
        <v>43740</v>
      </c>
      <c r="I152" s="3">
        <f t="shared" si="10"/>
        <v>-1.3200621205703831</v>
      </c>
      <c r="J152" s="3">
        <f t="shared" si="11"/>
        <v>-1.6868813606580342</v>
      </c>
      <c r="K152" s="3">
        <f t="shared" si="12"/>
        <v>-1.7903957005885249</v>
      </c>
      <c r="L152" s="3">
        <f t="shared" si="13"/>
        <v>-1.9723317163558129</v>
      </c>
      <c r="M152" s="3">
        <f t="shared" si="14"/>
        <v>-2.2365765038352818</v>
      </c>
    </row>
    <row r="153" spans="1:13" x14ac:dyDescent="0.15">
      <c r="A153" s="5">
        <v>43741</v>
      </c>
      <c r="B153" s="6">
        <v>139.72</v>
      </c>
      <c r="C153" s="6">
        <v>2910.6340405401388</v>
      </c>
      <c r="D153" s="6">
        <v>748.61118532051614</v>
      </c>
      <c r="E153" s="4">
        <v>121.74</v>
      </c>
      <c r="F153" s="9">
        <v>70.87</v>
      </c>
      <c r="H153" s="1">
        <v>43741</v>
      </c>
      <c r="I153" s="3">
        <f t="shared" si="10"/>
        <v>-5.0075112668998632E-2</v>
      </c>
      <c r="J153" s="3">
        <f t="shared" si="11"/>
        <v>0.49631310266592249</v>
      </c>
      <c r="K153" s="3">
        <f t="shared" si="12"/>
        <v>0.7974610233058278</v>
      </c>
      <c r="L153" s="3">
        <f t="shared" si="13"/>
        <v>0.38016590847516796</v>
      </c>
      <c r="M153" s="3">
        <f t="shared" si="14"/>
        <v>0.54509415262635996</v>
      </c>
    </row>
    <row r="154" spans="1:13" x14ac:dyDescent="0.15">
      <c r="A154" s="5">
        <v>43742</v>
      </c>
      <c r="B154" s="6">
        <v>141.6</v>
      </c>
      <c r="C154" s="6">
        <v>2952.0075644403978</v>
      </c>
      <c r="D154" s="6">
        <v>762.07712015266691</v>
      </c>
      <c r="E154" s="4">
        <v>124</v>
      </c>
      <c r="F154" s="9">
        <v>72.069999999999993</v>
      </c>
      <c r="H154" s="1">
        <v>43742</v>
      </c>
      <c r="I154" s="3">
        <f t="shared" si="10"/>
        <v>1.3455482393358114</v>
      </c>
      <c r="J154" s="3">
        <f t="shared" si="11"/>
        <v>1.693241145759826</v>
      </c>
      <c r="K154" s="3">
        <f t="shared" si="12"/>
        <v>1.4214608681131595</v>
      </c>
      <c r="L154" s="3">
        <f t="shared" si="13"/>
        <v>1.7987888901747247</v>
      </c>
      <c r="M154" s="3">
        <f t="shared" si="14"/>
        <v>1.856415311319209</v>
      </c>
    </row>
    <row r="155" spans="1:13" x14ac:dyDescent="0.15">
      <c r="A155" s="5">
        <v>43745</v>
      </c>
      <c r="B155" s="6">
        <v>140.16</v>
      </c>
      <c r="C155" s="6">
        <v>2938.7893931237022</v>
      </c>
      <c r="D155" s="6">
        <v>755.74353321897411</v>
      </c>
      <c r="E155" s="4">
        <v>122.84</v>
      </c>
      <c r="F155" s="9">
        <v>71.62</v>
      </c>
      <c r="H155" s="1">
        <v>43745</v>
      </c>
      <c r="I155" s="3">
        <f t="shared" si="10"/>
        <v>-1.0169491525423713</v>
      </c>
      <c r="J155" s="3">
        <f t="shared" si="11"/>
        <v>-0.62439295129733408</v>
      </c>
      <c r="K155" s="3">
        <f t="shared" si="12"/>
        <v>-0.44776888365464995</v>
      </c>
      <c r="L155" s="3">
        <f t="shared" si="13"/>
        <v>-0.83109527450764986</v>
      </c>
      <c r="M155" s="3">
        <f t="shared" si="14"/>
        <v>-0.93548387096773922</v>
      </c>
    </row>
    <row r="156" spans="1:13" x14ac:dyDescent="0.15">
      <c r="A156" s="5">
        <v>43746</v>
      </c>
      <c r="B156" s="6">
        <v>137.11000000000001</v>
      </c>
      <c r="C156" s="6">
        <v>2893.0555807820838</v>
      </c>
      <c r="D156" s="6">
        <v>744.27857333323504</v>
      </c>
      <c r="E156" s="4">
        <v>120.93</v>
      </c>
      <c r="F156" s="9">
        <v>70.680000000000007</v>
      </c>
      <c r="H156" s="1">
        <v>43746</v>
      </c>
      <c r="I156" s="3">
        <f t="shared" si="10"/>
        <v>-2.1760844748858328</v>
      </c>
      <c r="J156" s="3">
        <f t="shared" si="11"/>
        <v>-1.3124825467746408</v>
      </c>
      <c r="K156" s="3">
        <f t="shared" si="12"/>
        <v>-1.5562126516663035</v>
      </c>
      <c r="L156" s="3">
        <f t="shared" si="13"/>
        <v>-1.517043730021191</v>
      </c>
      <c r="M156" s="3">
        <f t="shared" si="14"/>
        <v>-1.5548681211331785</v>
      </c>
    </row>
    <row r="157" spans="1:13" x14ac:dyDescent="0.15">
      <c r="A157" s="5">
        <v>43747</v>
      </c>
      <c r="B157" s="6">
        <v>137.35</v>
      </c>
      <c r="C157" s="6">
        <v>2919.4000974809646</v>
      </c>
      <c r="D157" s="6">
        <v>748.87737950152246</v>
      </c>
      <c r="E157" s="4">
        <v>121.98</v>
      </c>
      <c r="F157" s="9">
        <v>70.63</v>
      </c>
      <c r="H157" s="1">
        <v>43747</v>
      </c>
      <c r="I157" s="3">
        <f t="shared" si="10"/>
        <v>0.1750419371307568</v>
      </c>
      <c r="J157" s="3">
        <f t="shared" si="11"/>
        <v>-7.0741369552930616E-2</v>
      </c>
      <c r="K157" s="3">
        <f t="shared" si="12"/>
        <v>0.9106121871242826</v>
      </c>
      <c r="L157" s="3">
        <f t="shared" si="13"/>
        <v>0.61788775507694105</v>
      </c>
      <c r="M157" s="3">
        <f t="shared" si="14"/>
        <v>0.86827090052096023</v>
      </c>
    </row>
    <row r="158" spans="1:13" x14ac:dyDescent="0.15">
      <c r="A158" s="5">
        <v>43748</v>
      </c>
      <c r="B158" s="6">
        <v>137.88999999999999</v>
      </c>
      <c r="C158" s="6">
        <v>2938.1323548147861</v>
      </c>
      <c r="D158" s="6">
        <v>749.23405779574114</v>
      </c>
      <c r="E158" s="4">
        <v>121.94</v>
      </c>
      <c r="F158" s="9">
        <v>70.77</v>
      </c>
      <c r="H158" s="1">
        <v>43748</v>
      </c>
      <c r="I158" s="3">
        <f t="shared" si="10"/>
        <v>0.39315617036766803</v>
      </c>
      <c r="J158" s="3">
        <f t="shared" si="11"/>
        <v>0.19821605550049637</v>
      </c>
      <c r="K158" s="3">
        <f t="shared" si="12"/>
        <v>0.64164748607033462</v>
      </c>
      <c r="L158" s="3">
        <f t="shared" si="13"/>
        <v>4.7628397382772969E-2</v>
      </c>
      <c r="M158" s="3">
        <f t="shared" si="14"/>
        <v>-3.2792261026402897E-2</v>
      </c>
    </row>
    <row r="159" spans="1:13" x14ac:dyDescent="0.15">
      <c r="A159" s="5">
        <v>43749</v>
      </c>
      <c r="B159" s="6">
        <v>137.63</v>
      </c>
      <c r="C159" s="6">
        <v>2970.2695448855425</v>
      </c>
      <c r="D159" s="6">
        <v>744.45654546980302</v>
      </c>
      <c r="E159" s="4">
        <v>121.09</v>
      </c>
      <c r="F159" s="9">
        <v>70.510000000000005</v>
      </c>
      <c r="H159" s="1">
        <v>43749</v>
      </c>
      <c r="I159" s="3">
        <f t="shared" si="10"/>
        <v>-0.18855609543838636</v>
      </c>
      <c r="J159" s="3">
        <f t="shared" si="11"/>
        <v>-0.36738731100747618</v>
      </c>
      <c r="K159" s="3">
        <f t="shared" si="12"/>
        <v>1.0937965411290056</v>
      </c>
      <c r="L159" s="3">
        <f t="shared" si="13"/>
        <v>-0.63765285043149778</v>
      </c>
      <c r="M159" s="3">
        <f t="shared" si="14"/>
        <v>-0.69706412989994615</v>
      </c>
    </row>
    <row r="160" spans="1:13" x14ac:dyDescent="0.15">
      <c r="A160" s="5">
        <v>43752</v>
      </c>
      <c r="B160" s="6">
        <v>135.1</v>
      </c>
      <c r="C160" s="6">
        <v>2966.1504555803626</v>
      </c>
      <c r="D160" s="6">
        <v>736.61781959897496</v>
      </c>
      <c r="E160" s="4">
        <v>120.05</v>
      </c>
      <c r="F160" s="9">
        <v>69.41</v>
      </c>
      <c r="H160" s="1">
        <v>43752</v>
      </c>
      <c r="I160" s="3">
        <f t="shared" si="10"/>
        <v>-1.8382620068299069</v>
      </c>
      <c r="J160" s="3">
        <f t="shared" si="11"/>
        <v>-1.5600624024961118</v>
      </c>
      <c r="K160" s="3">
        <f t="shared" si="12"/>
        <v>-0.13867728981945199</v>
      </c>
      <c r="L160" s="3">
        <f t="shared" si="13"/>
        <v>-1.05294606092573</v>
      </c>
      <c r="M160" s="3">
        <f t="shared" si="14"/>
        <v>-0.85886530679660267</v>
      </c>
    </row>
    <row r="161" spans="1:13" x14ac:dyDescent="0.15">
      <c r="A161" s="5">
        <v>43753</v>
      </c>
      <c r="B161" s="6">
        <v>133.87</v>
      </c>
      <c r="C161" s="6">
        <v>2995.6831330241921</v>
      </c>
      <c r="D161" s="6">
        <v>722.15796807312552</v>
      </c>
      <c r="E161" s="4">
        <v>117.2</v>
      </c>
      <c r="F161" s="9">
        <v>68.400000000000006</v>
      </c>
      <c r="H161" s="1">
        <v>43753</v>
      </c>
      <c r="I161" s="3">
        <f t="shared" si="10"/>
        <v>-0.91043671354551425</v>
      </c>
      <c r="J161" s="3">
        <f t="shared" si="11"/>
        <v>-1.4551217403832171</v>
      </c>
      <c r="K161" s="3">
        <f t="shared" si="12"/>
        <v>0.99565675733906933</v>
      </c>
      <c r="L161" s="3">
        <f t="shared" si="13"/>
        <v>-1.9630059362019763</v>
      </c>
      <c r="M161" s="3">
        <f t="shared" si="14"/>
        <v>-2.3740108288213198</v>
      </c>
    </row>
    <row r="162" spans="1:13" x14ac:dyDescent="0.15">
      <c r="A162" s="5">
        <v>43754</v>
      </c>
      <c r="B162" s="6">
        <v>134.69999999999999</v>
      </c>
      <c r="C162" s="6">
        <v>2989.693781043632</v>
      </c>
      <c r="D162" s="6">
        <v>723.36127228805969</v>
      </c>
      <c r="E162" s="4">
        <v>117.53</v>
      </c>
      <c r="F162" s="9">
        <v>67.849999999999994</v>
      </c>
      <c r="H162" s="1">
        <v>43754</v>
      </c>
      <c r="I162" s="3">
        <f t="shared" si="10"/>
        <v>0.62000448196009861</v>
      </c>
      <c r="J162" s="3">
        <f t="shared" si="11"/>
        <v>-0.80409356725147862</v>
      </c>
      <c r="K162" s="3">
        <f t="shared" si="12"/>
        <v>-0.19993276039557989</v>
      </c>
      <c r="L162" s="3">
        <f t="shared" si="13"/>
        <v>0.16662617711535543</v>
      </c>
      <c r="M162" s="3">
        <f t="shared" si="14"/>
        <v>0.28156996587030569</v>
      </c>
    </row>
    <row r="163" spans="1:13" x14ac:dyDescent="0.15">
      <c r="A163" s="5">
        <v>43755</v>
      </c>
      <c r="B163" s="6">
        <v>135.62</v>
      </c>
      <c r="C163" s="6">
        <v>2997.9528862060724</v>
      </c>
      <c r="D163" s="6">
        <v>720.97535486657046</v>
      </c>
      <c r="E163" s="4">
        <v>116.63</v>
      </c>
      <c r="F163" s="9">
        <v>68.08</v>
      </c>
      <c r="H163" s="1">
        <v>43755</v>
      </c>
      <c r="I163" s="3">
        <f t="shared" si="10"/>
        <v>0.68299925760951452</v>
      </c>
      <c r="J163" s="3">
        <f t="shared" si="11"/>
        <v>0.3389830508474635</v>
      </c>
      <c r="K163" s="3">
        <f t="shared" si="12"/>
        <v>0.27625254515388303</v>
      </c>
      <c r="L163" s="3">
        <f t="shared" si="13"/>
        <v>-0.32983759469764784</v>
      </c>
      <c r="M163" s="3">
        <f t="shared" si="14"/>
        <v>-0.76576193312346263</v>
      </c>
    </row>
    <row r="164" spans="1:13" x14ac:dyDescent="0.15">
      <c r="A164" s="5">
        <v>43756</v>
      </c>
      <c r="B164" s="6">
        <v>137.22</v>
      </c>
      <c r="C164" s="6">
        <v>2986.2034836123844</v>
      </c>
      <c r="D164" s="6">
        <v>725.42738693736123</v>
      </c>
      <c r="E164" s="4">
        <v>117.47</v>
      </c>
      <c r="F164" s="9">
        <v>68.03</v>
      </c>
      <c r="H164" s="1">
        <v>43756</v>
      </c>
      <c r="I164" s="3">
        <f t="shared" si="10"/>
        <v>1.1797669960182822</v>
      </c>
      <c r="J164" s="3">
        <f t="shared" si="11"/>
        <v>-7.3443008225612741E-2</v>
      </c>
      <c r="K164" s="3">
        <f t="shared" si="12"/>
        <v>-0.39191418410037077</v>
      </c>
      <c r="L164" s="3">
        <f t="shared" si="13"/>
        <v>0.61750128360694212</v>
      </c>
      <c r="M164" s="3">
        <f t="shared" si="14"/>
        <v>0.72022635685501446</v>
      </c>
    </row>
    <row r="165" spans="1:13" x14ac:dyDescent="0.15">
      <c r="A165" s="5">
        <v>43759</v>
      </c>
      <c r="B165" s="6">
        <v>139.19</v>
      </c>
      <c r="C165" s="6">
        <v>3006.7242822969392</v>
      </c>
      <c r="D165" s="6">
        <v>733.42282263792129</v>
      </c>
      <c r="E165" s="4">
        <v>119.08</v>
      </c>
      <c r="F165" s="9">
        <v>68.3</v>
      </c>
      <c r="H165" s="1">
        <v>43759</v>
      </c>
      <c r="I165" s="3">
        <f t="shared" si="10"/>
        <v>1.4356507797697122</v>
      </c>
      <c r="J165" s="3">
        <f t="shared" si="11"/>
        <v>0.39688372776715569</v>
      </c>
      <c r="K165" s="3">
        <f t="shared" si="12"/>
        <v>0.68718688452305388</v>
      </c>
      <c r="L165" s="3">
        <f t="shared" si="13"/>
        <v>1.1021689895546274</v>
      </c>
      <c r="M165" s="3">
        <f t="shared" si="14"/>
        <v>1.3705626968587719</v>
      </c>
    </row>
    <row r="166" spans="1:13" x14ac:dyDescent="0.15">
      <c r="A166" s="5">
        <v>43760</v>
      </c>
      <c r="B166" s="6">
        <v>129.38</v>
      </c>
      <c r="C166" s="6">
        <v>2995.9929636091292</v>
      </c>
      <c r="D166" s="6">
        <v>738.9997838491164</v>
      </c>
      <c r="E166" s="4">
        <v>122.18</v>
      </c>
      <c r="F166" s="9">
        <v>67.06</v>
      </c>
      <c r="H166" s="1">
        <v>43760</v>
      </c>
      <c r="I166" s="3">
        <f t="shared" si="10"/>
        <v>-7.0479201092032495</v>
      </c>
      <c r="J166" s="3">
        <f t="shared" si="11"/>
        <v>-1.8155197657393776</v>
      </c>
      <c r="K166" s="3">
        <f t="shared" si="12"/>
        <v>-0.35691063364187142</v>
      </c>
      <c r="L166" s="3">
        <f t="shared" si="13"/>
        <v>0.76040191810998026</v>
      </c>
      <c r="M166" s="3">
        <f t="shared" si="14"/>
        <v>2.6032919046019556</v>
      </c>
    </row>
    <row r="167" spans="1:13" x14ac:dyDescent="0.15">
      <c r="A167" s="5">
        <v>43761</v>
      </c>
      <c r="B167" s="6">
        <v>134.29</v>
      </c>
      <c r="C167" s="6">
        <v>3004.524330502762</v>
      </c>
      <c r="D167" s="6">
        <v>746.63852063894137</v>
      </c>
      <c r="E167" s="4">
        <v>123</v>
      </c>
      <c r="F167" s="9">
        <v>67.540000000000006</v>
      </c>
      <c r="H167" s="1">
        <v>43761</v>
      </c>
      <c r="I167" s="3">
        <f t="shared" si="10"/>
        <v>3.7950224145926708</v>
      </c>
      <c r="J167" s="3">
        <f t="shared" si="11"/>
        <v>0.71577691619445871</v>
      </c>
      <c r="K167" s="3">
        <f t="shared" si="12"/>
        <v>0.28475924333799141</v>
      </c>
      <c r="L167" s="3">
        <f t="shared" si="13"/>
        <v>1.0336588665883286</v>
      </c>
      <c r="M167" s="3">
        <f t="shared" si="14"/>
        <v>0.6711409395973098</v>
      </c>
    </row>
    <row r="168" spans="1:13" x14ac:dyDescent="0.15">
      <c r="A168" s="5">
        <v>43762</v>
      </c>
      <c r="B168" s="6">
        <v>135.19</v>
      </c>
      <c r="C168" s="6">
        <v>3010.2853025981613</v>
      </c>
      <c r="D168" s="6">
        <v>756.12691581618662</v>
      </c>
      <c r="E168" s="4">
        <v>124.79</v>
      </c>
      <c r="F168" s="9">
        <v>68.34</v>
      </c>
      <c r="H168" s="1">
        <v>43762</v>
      </c>
      <c r="I168" s="3">
        <f t="shared" si="10"/>
        <v>0.6701913768709552</v>
      </c>
      <c r="J168" s="3">
        <f t="shared" si="11"/>
        <v>1.1844832691738185</v>
      </c>
      <c r="K168" s="3">
        <f t="shared" si="12"/>
        <v>0.19174323326032774</v>
      </c>
      <c r="L168" s="3">
        <f t="shared" si="13"/>
        <v>1.270815115341958</v>
      </c>
      <c r="M168" s="3">
        <f t="shared" si="14"/>
        <v>1.4552845528455336</v>
      </c>
    </row>
    <row r="169" spans="1:13" x14ac:dyDescent="0.15">
      <c r="A169" s="5">
        <v>43763</v>
      </c>
      <c r="B169" s="6">
        <v>134.19999999999999</v>
      </c>
      <c r="C169" s="6">
        <v>3022.549643690118</v>
      </c>
      <c r="D169" s="6">
        <v>749.03858851633868</v>
      </c>
      <c r="E169" s="4">
        <v>123.25</v>
      </c>
      <c r="F169" s="9">
        <v>68.41</v>
      </c>
      <c r="H169" s="1">
        <v>43763</v>
      </c>
      <c r="I169" s="3">
        <f t="shared" si="10"/>
        <v>-0.73230268510985219</v>
      </c>
      <c r="J169" s="3">
        <f t="shared" si="11"/>
        <v>0.10242903131400816</v>
      </c>
      <c r="K169" s="3">
        <f t="shared" si="12"/>
        <v>0.40741457566734646</v>
      </c>
      <c r="L169" s="3">
        <f t="shared" si="13"/>
        <v>-0.93745205356121841</v>
      </c>
      <c r="M169" s="3">
        <f t="shared" si="14"/>
        <v>-1.2340732430483261</v>
      </c>
    </row>
    <row r="170" spans="1:13" x14ac:dyDescent="0.15">
      <c r="A170" s="5">
        <v>43766</v>
      </c>
      <c r="B170" s="6">
        <v>131.88</v>
      </c>
      <c r="C170" s="6">
        <v>3039.4199220226506</v>
      </c>
      <c r="D170" s="6">
        <v>746.90666450115066</v>
      </c>
      <c r="E170" s="4">
        <v>123.48</v>
      </c>
      <c r="F170" s="9">
        <v>67.349999999999994</v>
      </c>
      <c r="H170" s="1">
        <v>43766</v>
      </c>
      <c r="I170" s="3">
        <f t="shared" si="10"/>
        <v>-1.7287630402384451</v>
      </c>
      <c r="J170" s="3">
        <f t="shared" si="11"/>
        <v>-1.5494810700190065</v>
      </c>
      <c r="K170" s="3">
        <f t="shared" si="12"/>
        <v>0.55814727039309153</v>
      </c>
      <c r="L170" s="3">
        <f t="shared" si="13"/>
        <v>-0.28462138638422313</v>
      </c>
      <c r="M170" s="3">
        <f t="shared" si="14"/>
        <v>0.18661257606491197</v>
      </c>
    </row>
    <row r="171" spans="1:13" x14ac:dyDescent="0.15">
      <c r="A171" s="5">
        <v>43767</v>
      </c>
      <c r="B171" s="6">
        <v>132.94</v>
      </c>
      <c r="C171" s="6">
        <v>3036.8922475774289</v>
      </c>
      <c r="D171" s="6">
        <v>748.16054767611479</v>
      </c>
      <c r="E171" s="4">
        <v>123.6</v>
      </c>
      <c r="F171" s="9">
        <v>67.92</v>
      </c>
      <c r="H171" s="1">
        <v>43767</v>
      </c>
      <c r="I171" s="3">
        <f t="shared" si="10"/>
        <v>0.80376099484379904</v>
      </c>
      <c r="J171" s="3">
        <f t="shared" si="11"/>
        <v>0.84632516703787297</v>
      </c>
      <c r="K171" s="3">
        <f t="shared" si="12"/>
        <v>-8.3163054466642891E-2</v>
      </c>
      <c r="L171" s="3">
        <f t="shared" si="13"/>
        <v>0.16787682244093816</v>
      </c>
      <c r="M171" s="3">
        <f t="shared" si="14"/>
        <v>9.7181729834783223E-2</v>
      </c>
    </row>
    <row r="172" spans="1:13" x14ac:dyDescent="0.15">
      <c r="A172" s="5">
        <v>43768</v>
      </c>
      <c r="B172" s="6">
        <v>133.66999999999999</v>
      </c>
      <c r="C172" s="6">
        <v>3046.7662003716096</v>
      </c>
      <c r="D172" s="6">
        <v>756.09227712804773</v>
      </c>
      <c r="E172" s="4">
        <v>124.94</v>
      </c>
      <c r="F172" s="9">
        <v>68.58</v>
      </c>
      <c r="H172" s="1">
        <v>43768</v>
      </c>
      <c r="I172" s="3">
        <f t="shared" si="10"/>
        <v>0.54911990371595443</v>
      </c>
      <c r="J172" s="3">
        <f t="shared" si="11"/>
        <v>0.9717314487632458</v>
      </c>
      <c r="K172" s="3">
        <f t="shared" si="12"/>
        <v>0.32513345845764813</v>
      </c>
      <c r="L172" s="3">
        <f t="shared" si="13"/>
        <v>1.0601640886531554</v>
      </c>
      <c r="M172" s="3">
        <f t="shared" si="14"/>
        <v>1.0841423948220092</v>
      </c>
    </row>
    <row r="173" spans="1:13" x14ac:dyDescent="0.15">
      <c r="A173" s="5">
        <v>43769</v>
      </c>
      <c r="B173" s="6">
        <v>132.88</v>
      </c>
      <c r="C173" s="6">
        <v>3037.5644352599625</v>
      </c>
      <c r="D173" s="6">
        <v>750.98622085951831</v>
      </c>
      <c r="E173" s="4">
        <v>124.51</v>
      </c>
      <c r="F173" s="9">
        <v>68.599999999999994</v>
      </c>
      <c r="H173" s="1">
        <v>43769</v>
      </c>
      <c r="I173" s="3">
        <f t="shared" si="10"/>
        <v>-0.5910077055434968</v>
      </c>
      <c r="J173" s="3">
        <f t="shared" si="11"/>
        <v>2.9163021288999738E-2</v>
      </c>
      <c r="K173" s="3">
        <f t="shared" si="12"/>
        <v>-0.30201743443670753</v>
      </c>
      <c r="L173" s="3">
        <f t="shared" si="13"/>
        <v>-0.67532183874755813</v>
      </c>
      <c r="M173" s="3">
        <f t="shared" si="14"/>
        <v>-0.34416519929565603</v>
      </c>
    </row>
    <row r="174" spans="1:13" x14ac:dyDescent="0.15">
      <c r="A174" s="5">
        <v>43770</v>
      </c>
      <c r="B174" s="6">
        <v>132.04</v>
      </c>
      <c r="C174" s="6">
        <v>3066.914735031588</v>
      </c>
      <c r="D174" s="6">
        <v>744.68164108207998</v>
      </c>
      <c r="E174" s="4">
        <v>123.87</v>
      </c>
      <c r="F174" s="9">
        <v>66.81</v>
      </c>
      <c r="H174" s="1">
        <v>43770</v>
      </c>
      <c r="I174" s="3">
        <f t="shared" si="10"/>
        <v>-0.63214930764599897</v>
      </c>
      <c r="J174" s="3">
        <f t="shared" si="11"/>
        <v>-2.6093294460641285</v>
      </c>
      <c r="K174" s="3">
        <f t="shared" si="12"/>
        <v>0.96624451586698967</v>
      </c>
      <c r="L174" s="3">
        <f t="shared" si="13"/>
        <v>-0.83950671827541923</v>
      </c>
      <c r="M174" s="3">
        <f t="shared" si="14"/>
        <v>-0.51401493855915237</v>
      </c>
    </row>
    <row r="175" spans="1:13" x14ac:dyDescent="0.15">
      <c r="A175" s="5">
        <v>43773</v>
      </c>
      <c r="B175" s="6">
        <v>129.36000000000001</v>
      </c>
      <c r="C175" s="6">
        <v>3078.2697296470428</v>
      </c>
      <c r="D175" s="6">
        <v>720.41944171362718</v>
      </c>
      <c r="E175" s="4">
        <v>119.07</v>
      </c>
      <c r="F175" s="9">
        <v>65.41</v>
      </c>
      <c r="H175" s="1">
        <v>43773</v>
      </c>
      <c r="I175" s="3">
        <f t="shared" si="10"/>
        <v>-2.0296879733413955</v>
      </c>
      <c r="J175" s="3">
        <f t="shared" si="11"/>
        <v>-2.0954946864241966</v>
      </c>
      <c r="K175" s="3">
        <f t="shared" si="12"/>
        <v>0.37024161401532796</v>
      </c>
      <c r="L175" s="3">
        <f t="shared" si="13"/>
        <v>-3.2580633159155026</v>
      </c>
      <c r="M175" s="3">
        <f t="shared" si="14"/>
        <v>-3.8750302736740219</v>
      </c>
    </row>
    <row r="176" spans="1:13" x14ac:dyDescent="0.15">
      <c r="A176" s="5">
        <v>43774</v>
      </c>
      <c r="B176" s="6">
        <v>130.37</v>
      </c>
      <c r="C176" s="6">
        <v>3074.6159174574223</v>
      </c>
      <c r="D176" s="6">
        <v>721.3971315974203</v>
      </c>
      <c r="E176" s="4">
        <v>118.9</v>
      </c>
      <c r="F176" s="9">
        <v>65.959999999999994</v>
      </c>
      <c r="H176" s="1">
        <v>43774</v>
      </c>
      <c r="I176" s="3">
        <f t="shared" si="10"/>
        <v>0.78076685219541653</v>
      </c>
      <c r="J176" s="3">
        <f t="shared" si="11"/>
        <v>0.84085002293226907</v>
      </c>
      <c r="K176" s="3">
        <f t="shared" si="12"/>
        <v>-0.11869694700339063</v>
      </c>
      <c r="L176" s="3">
        <f t="shared" si="13"/>
        <v>0.13571120200025896</v>
      </c>
      <c r="M176" s="3">
        <f t="shared" si="14"/>
        <v>-0.14277315864616402</v>
      </c>
    </row>
    <row r="177" spans="1:13" x14ac:dyDescent="0.15">
      <c r="A177" s="5">
        <v>43775</v>
      </c>
      <c r="B177" s="6">
        <v>131.72</v>
      </c>
      <c r="C177" s="6">
        <v>3076.7753427904145</v>
      </c>
      <c r="D177" s="6">
        <v>729.14087410350066</v>
      </c>
      <c r="E177" s="4">
        <v>120.32</v>
      </c>
      <c r="F177" s="9">
        <v>66.52</v>
      </c>
      <c r="H177" s="1">
        <v>43775</v>
      </c>
      <c r="I177" s="3">
        <f t="shared" si="10"/>
        <v>1.0355143054383633</v>
      </c>
      <c r="J177" s="3">
        <f t="shared" si="11"/>
        <v>0.84899939357186527</v>
      </c>
      <c r="K177" s="3">
        <f t="shared" si="12"/>
        <v>7.0233986649557434E-2</v>
      </c>
      <c r="L177" s="3">
        <f t="shared" si="13"/>
        <v>1.073436830686181</v>
      </c>
      <c r="M177" s="3">
        <f t="shared" si="14"/>
        <v>1.194280908326314</v>
      </c>
    </row>
    <row r="178" spans="1:13" x14ac:dyDescent="0.15">
      <c r="A178" s="5">
        <v>43776</v>
      </c>
      <c r="B178" s="6">
        <v>131.76</v>
      </c>
      <c r="C178" s="6">
        <v>3085.1818609346037</v>
      </c>
      <c r="D178" s="6">
        <v>726.28047252270039</v>
      </c>
      <c r="E178" s="4">
        <v>119.62</v>
      </c>
      <c r="F178" s="9">
        <v>66.87</v>
      </c>
      <c r="H178" s="1">
        <v>43776</v>
      </c>
      <c r="I178" s="3">
        <f t="shared" si="10"/>
        <v>3.0367446097777133E-2</v>
      </c>
      <c r="J178" s="3">
        <f t="shared" si="11"/>
        <v>0.52615754660253844</v>
      </c>
      <c r="K178" s="3">
        <f t="shared" si="12"/>
        <v>0.27322495819812243</v>
      </c>
      <c r="L178" s="3">
        <f t="shared" si="13"/>
        <v>-0.39229752197299544</v>
      </c>
      <c r="M178" s="3">
        <f t="shared" si="14"/>
        <v>-0.58178191489360764</v>
      </c>
    </row>
    <row r="179" spans="1:13" x14ac:dyDescent="0.15">
      <c r="A179" s="5">
        <v>43777</v>
      </c>
      <c r="B179" s="6">
        <v>131.46</v>
      </c>
      <c r="C179" s="6">
        <v>3093.0848032675412</v>
      </c>
      <c r="D179" s="6">
        <v>726.4642499114691</v>
      </c>
      <c r="E179" s="4">
        <v>119.7</v>
      </c>
      <c r="F179" s="9">
        <v>66.63</v>
      </c>
      <c r="H179" s="1">
        <v>43777</v>
      </c>
      <c r="I179" s="3">
        <f t="shared" si="10"/>
        <v>-0.22768670309652622</v>
      </c>
      <c r="J179" s="3">
        <f t="shared" si="11"/>
        <v>-0.35890533871692698</v>
      </c>
      <c r="K179" s="3">
        <f t="shared" si="12"/>
        <v>0.25615807071235225</v>
      </c>
      <c r="L179" s="3">
        <f t="shared" si="13"/>
        <v>2.5303914358369241E-2</v>
      </c>
      <c r="M179" s="3">
        <f t="shared" si="14"/>
        <v>6.6878448419995226E-2</v>
      </c>
    </row>
    <row r="180" spans="1:13" x14ac:dyDescent="0.15">
      <c r="A180" s="5">
        <v>43780</v>
      </c>
      <c r="B180" s="6">
        <v>131.19999999999999</v>
      </c>
      <c r="C180" s="6">
        <v>3087.0050177695357</v>
      </c>
      <c r="D180" s="6">
        <v>724.39450351576795</v>
      </c>
      <c r="E180" s="4">
        <v>119.33</v>
      </c>
      <c r="F180" s="9">
        <v>66.540000000000006</v>
      </c>
      <c r="H180" s="1">
        <v>43780</v>
      </c>
      <c r="I180" s="3">
        <f t="shared" si="10"/>
        <v>-0.19777879202800799</v>
      </c>
      <c r="J180" s="3">
        <f t="shared" si="11"/>
        <v>-0.13507429085995679</v>
      </c>
      <c r="K180" s="3">
        <f t="shared" si="12"/>
        <v>-0.19656058222467265</v>
      </c>
      <c r="L180" s="3">
        <f t="shared" si="13"/>
        <v>-0.2849068479217492</v>
      </c>
      <c r="M180" s="3">
        <f t="shared" si="14"/>
        <v>-0.30910609857978655</v>
      </c>
    </row>
    <row r="181" spans="1:13" x14ac:dyDescent="0.15">
      <c r="A181" s="5">
        <v>43781</v>
      </c>
      <c r="B181" s="6">
        <v>131.35</v>
      </c>
      <c r="C181" s="6">
        <v>3091.839016023886</v>
      </c>
      <c r="D181" s="6">
        <v>723.85880418440365</v>
      </c>
      <c r="E181" s="4">
        <v>119.27</v>
      </c>
      <c r="F181" s="9">
        <v>66.64</v>
      </c>
      <c r="H181" s="1">
        <v>43781</v>
      </c>
      <c r="I181" s="3">
        <f t="shared" si="10"/>
        <v>0.11432926829268727</v>
      </c>
      <c r="J181" s="3">
        <f t="shared" si="11"/>
        <v>0.15028554253079998</v>
      </c>
      <c r="K181" s="3">
        <f t="shared" si="12"/>
        <v>0.15659184959287781</v>
      </c>
      <c r="L181" s="3">
        <f t="shared" si="13"/>
        <v>-7.3951324694533416E-2</v>
      </c>
      <c r="M181" s="3">
        <f t="shared" si="14"/>
        <v>-5.0280734098719741E-2</v>
      </c>
    </row>
    <row r="182" spans="1:13" x14ac:dyDescent="0.15">
      <c r="A182" s="5">
        <v>43782</v>
      </c>
      <c r="B182" s="6">
        <v>132.41999999999999</v>
      </c>
      <c r="C182" s="6">
        <v>3094.0353401605175</v>
      </c>
      <c r="D182" s="6">
        <v>731.49521796961062</v>
      </c>
      <c r="E182" s="4">
        <v>120.65</v>
      </c>
      <c r="F182" s="9">
        <v>66.88</v>
      </c>
      <c r="H182" s="1">
        <v>43782</v>
      </c>
      <c r="I182" s="3">
        <f t="shared" si="10"/>
        <v>0.81461743433573908</v>
      </c>
      <c r="J182" s="3">
        <f t="shared" si="11"/>
        <v>0.36014405762304152</v>
      </c>
      <c r="K182" s="3">
        <f t="shared" si="12"/>
        <v>7.1036173786824558E-2</v>
      </c>
      <c r="L182" s="3">
        <f t="shared" si="13"/>
        <v>1.0549590253048282</v>
      </c>
      <c r="M182" s="3">
        <f t="shared" si="14"/>
        <v>1.1570386517984488</v>
      </c>
    </row>
    <row r="183" spans="1:13" x14ac:dyDescent="0.15">
      <c r="A183" s="5">
        <v>43783</v>
      </c>
      <c r="B183" s="6">
        <v>132.38999999999999</v>
      </c>
      <c r="C183" s="6">
        <v>3096.6331268924378</v>
      </c>
      <c r="D183" s="6">
        <v>730.15767717385802</v>
      </c>
      <c r="E183" s="4">
        <v>120.5</v>
      </c>
      <c r="F183" s="9">
        <v>66.64</v>
      </c>
      <c r="H183" s="1">
        <v>43783</v>
      </c>
      <c r="I183" s="3">
        <f t="shared" si="10"/>
        <v>-2.2655188038061574E-2</v>
      </c>
      <c r="J183" s="3">
        <f t="shared" si="11"/>
        <v>-0.35885167464114071</v>
      </c>
      <c r="K183" s="3">
        <f t="shared" si="12"/>
        <v>8.3961120230302569E-2</v>
      </c>
      <c r="L183" s="3">
        <f t="shared" si="13"/>
        <v>-0.18285024466259317</v>
      </c>
      <c r="M183" s="3">
        <f t="shared" si="14"/>
        <v>-0.12432656444260727</v>
      </c>
    </row>
    <row r="184" spans="1:13" x14ac:dyDescent="0.15">
      <c r="A184" s="5">
        <v>43784</v>
      </c>
      <c r="B184" s="6">
        <v>131.63</v>
      </c>
      <c r="C184" s="6">
        <v>3120.4604032335037</v>
      </c>
      <c r="D184" s="6">
        <v>729.02890409143367</v>
      </c>
      <c r="E184" s="4">
        <v>120.54</v>
      </c>
      <c r="F184" s="9">
        <v>66.37</v>
      </c>
      <c r="H184" s="1">
        <v>43784</v>
      </c>
      <c r="I184" s="3">
        <f t="shared" si="10"/>
        <v>-0.57406148500641363</v>
      </c>
      <c r="J184" s="3">
        <f t="shared" si="11"/>
        <v>-0.40516206482592437</v>
      </c>
      <c r="K184" s="3">
        <f t="shared" si="12"/>
        <v>0.76945751610483237</v>
      </c>
      <c r="L184" s="3">
        <f t="shared" si="13"/>
        <v>-0.15459305814510704</v>
      </c>
      <c r="M184" s="3">
        <f t="shared" si="14"/>
        <v>3.3195020746893157E-2</v>
      </c>
    </row>
    <row r="185" spans="1:13" x14ac:dyDescent="0.15">
      <c r="A185" s="5">
        <v>43787</v>
      </c>
      <c r="B185" s="6">
        <v>132.52000000000001</v>
      </c>
      <c r="C185" s="6">
        <v>3122.028006676167</v>
      </c>
      <c r="D185" s="6">
        <v>736.59668894878121</v>
      </c>
      <c r="E185" s="4">
        <v>121.89</v>
      </c>
      <c r="F185" s="9">
        <v>67.13</v>
      </c>
      <c r="H185" s="1">
        <v>43787</v>
      </c>
      <c r="I185" s="3">
        <f t="shared" si="10"/>
        <v>0.67613765858847885</v>
      </c>
      <c r="J185" s="3">
        <f t="shared" si="11"/>
        <v>1.1450956757571054</v>
      </c>
      <c r="K185" s="3">
        <f t="shared" si="12"/>
        <v>5.0236286960697214E-2</v>
      </c>
      <c r="L185" s="3">
        <f t="shared" si="13"/>
        <v>1.0380637605554242</v>
      </c>
      <c r="M185" s="3">
        <f t="shared" si="14"/>
        <v>1.1199601791936238</v>
      </c>
    </row>
    <row r="186" spans="1:13" x14ac:dyDescent="0.15">
      <c r="A186" s="5">
        <v>43788</v>
      </c>
      <c r="B186" s="6">
        <v>132.94</v>
      </c>
      <c r="C186" s="6">
        <v>3120.1812842673753</v>
      </c>
      <c r="D186" s="6">
        <v>735.44763378267794</v>
      </c>
      <c r="E186" s="4">
        <v>121.42</v>
      </c>
      <c r="F186" s="9">
        <v>67.16</v>
      </c>
      <c r="H186" s="1">
        <v>43788</v>
      </c>
      <c r="I186" s="3">
        <f t="shared" si="10"/>
        <v>0.31693329308782631</v>
      </c>
      <c r="J186" s="3">
        <f t="shared" si="11"/>
        <v>4.4689408610161088E-2</v>
      </c>
      <c r="K186" s="3">
        <f t="shared" si="12"/>
        <v>-5.9151372276055041E-2</v>
      </c>
      <c r="L186" s="3">
        <f t="shared" si="13"/>
        <v>-0.15599515764089536</v>
      </c>
      <c r="M186" s="3">
        <f t="shared" si="14"/>
        <v>-0.3855935679711206</v>
      </c>
    </row>
    <row r="187" spans="1:13" x14ac:dyDescent="0.15">
      <c r="A187" s="5">
        <v>43789</v>
      </c>
      <c r="B187" s="6">
        <v>134.6</v>
      </c>
      <c r="C187" s="6">
        <v>3108.4581501789567</v>
      </c>
      <c r="D187" s="6">
        <v>740.37823970832756</v>
      </c>
      <c r="E187" s="4">
        <v>122.29</v>
      </c>
      <c r="F187" s="9">
        <v>67.209999999999994</v>
      </c>
      <c r="H187" s="1">
        <v>43789</v>
      </c>
      <c r="I187" s="3">
        <f t="shared" si="10"/>
        <v>1.2486836166691715</v>
      </c>
      <c r="J187" s="3">
        <f t="shared" si="11"/>
        <v>7.4449076831443056E-2</v>
      </c>
      <c r="K187" s="3">
        <f t="shared" si="12"/>
        <v>-0.37571964640417554</v>
      </c>
      <c r="L187" s="3">
        <f t="shared" si="13"/>
        <v>0.67042243378902378</v>
      </c>
      <c r="M187" s="3">
        <f t="shared" si="14"/>
        <v>0.71652116619997075</v>
      </c>
    </row>
    <row r="188" spans="1:13" x14ac:dyDescent="0.15">
      <c r="A188" s="5">
        <v>43790</v>
      </c>
      <c r="B188" s="6">
        <v>133.36000000000001</v>
      </c>
      <c r="C188" s="6">
        <v>3103.5369124181698</v>
      </c>
      <c r="D188" s="6">
        <v>730.32657761124597</v>
      </c>
      <c r="E188" s="4">
        <v>120.34</v>
      </c>
      <c r="F188" s="9">
        <v>66.75</v>
      </c>
      <c r="H188" s="1">
        <v>43790</v>
      </c>
      <c r="I188" s="3">
        <f t="shared" si="10"/>
        <v>-0.92124814264485932</v>
      </c>
      <c r="J188" s="3">
        <f t="shared" si="11"/>
        <v>-0.68442196101769648</v>
      </c>
      <c r="K188" s="3">
        <f t="shared" si="12"/>
        <v>-0.15831764569529624</v>
      </c>
      <c r="L188" s="3">
        <f t="shared" si="13"/>
        <v>-1.3576387794759404</v>
      </c>
      <c r="M188" s="3">
        <f t="shared" si="14"/>
        <v>-1.5945702837517399</v>
      </c>
    </row>
    <row r="189" spans="1:13" x14ac:dyDescent="0.15">
      <c r="A189" s="5">
        <v>43791</v>
      </c>
      <c r="B189" s="6">
        <v>133.53</v>
      </c>
      <c r="C189" s="6">
        <v>3110.2883488152388</v>
      </c>
      <c r="D189" s="6">
        <v>730.36865901134581</v>
      </c>
      <c r="E189" s="4">
        <v>120.29</v>
      </c>
      <c r="F189" s="9">
        <v>66.709999999999994</v>
      </c>
      <c r="H189" s="1">
        <v>43791</v>
      </c>
      <c r="I189" s="3">
        <f t="shared" si="10"/>
        <v>0.12747450509897082</v>
      </c>
      <c r="J189" s="3">
        <f t="shared" si="11"/>
        <v>-5.992509363296817E-2</v>
      </c>
      <c r="K189" s="3">
        <f t="shared" si="12"/>
        <v>0.21754007081580157</v>
      </c>
      <c r="L189" s="3">
        <f t="shared" si="13"/>
        <v>5.7619976309072757E-3</v>
      </c>
      <c r="M189" s="3">
        <f t="shared" si="14"/>
        <v>-4.1548944656803352E-2</v>
      </c>
    </row>
    <row r="190" spans="1:13" x14ac:dyDescent="0.15">
      <c r="A190" s="5">
        <v>43794</v>
      </c>
      <c r="B190" s="6">
        <v>133.35</v>
      </c>
      <c r="C190" s="6">
        <v>3133.6428229301277</v>
      </c>
      <c r="D190" s="6">
        <v>731.33374898068791</v>
      </c>
      <c r="E190" s="4">
        <v>120.51</v>
      </c>
      <c r="F190" s="9">
        <v>66.98</v>
      </c>
      <c r="H190" s="1">
        <v>43794</v>
      </c>
      <c r="I190" s="3">
        <f t="shared" si="10"/>
        <v>-0.13480116827679683</v>
      </c>
      <c r="J190" s="3">
        <f t="shared" si="11"/>
        <v>0.40473692100136449</v>
      </c>
      <c r="K190" s="3">
        <f t="shared" si="12"/>
        <v>0.75087810182567338</v>
      </c>
      <c r="L190" s="3">
        <f t="shared" si="13"/>
        <v>0.13213737438412052</v>
      </c>
      <c r="M190" s="3">
        <f t="shared" si="14"/>
        <v>0.18289134591404013</v>
      </c>
    </row>
    <row r="191" spans="1:13" x14ac:dyDescent="0.15">
      <c r="A191" s="5">
        <v>43795</v>
      </c>
      <c r="B191" s="6">
        <v>134.57</v>
      </c>
      <c r="C191" s="6">
        <v>3140.5198640129411</v>
      </c>
      <c r="D191" s="6">
        <v>741.36729130284732</v>
      </c>
      <c r="E191" s="4">
        <v>122.26</v>
      </c>
      <c r="F191" s="9">
        <v>67.790000000000006</v>
      </c>
      <c r="H191" s="1">
        <v>43795</v>
      </c>
      <c r="I191" s="3">
        <f t="shared" si="10"/>
        <v>0.91488563929508737</v>
      </c>
      <c r="J191" s="3">
        <f t="shared" si="11"/>
        <v>1.2093162137951661</v>
      </c>
      <c r="K191" s="3">
        <f t="shared" si="12"/>
        <v>0.21945835793700672</v>
      </c>
      <c r="L191" s="3">
        <f t="shared" si="13"/>
        <v>1.3719512242042529</v>
      </c>
      <c r="M191" s="3">
        <f t="shared" si="14"/>
        <v>1.4521616463364035</v>
      </c>
    </row>
    <row r="192" spans="1:13" x14ac:dyDescent="0.15">
      <c r="A192" s="5">
        <v>43796</v>
      </c>
      <c r="B192" s="6">
        <v>136.26</v>
      </c>
      <c r="C192" s="6">
        <v>3153.6280711461113</v>
      </c>
      <c r="D192" s="6">
        <v>740.54417889295382</v>
      </c>
      <c r="E192" s="4">
        <v>121.76</v>
      </c>
      <c r="F192" s="9">
        <v>67.680000000000007</v>
      </c>
      <c r="H192" s="1">
        <v>43796</v>
      </c>
      <c r="I192" s="3">
        <f t="shared" si="10"/>
        <v>1.2558519729508788</v>
      </c>
      <c r="J192" s="3">
        <f t="shared" si="11"/>
        <v>-0.16226582091753861</v>
      </c>
      <c r="K192" s="3">
        <f t="shared" si="12"/>
        <v>0.41738972210864</v>
      </c>
      <c r="L192" s="3">
        <f t="shared" si="13"/>
        <v>-0.11102626451822474</v>
      </c>
      <c r="M192" s="3">
        <f t="shared" si="14"/>
        <v>-0.40896450188123668</v>
      </c>
    </row>
    <row r="193" spans="1:13" x14ac:dyDescent="0.15">
      <c r="A193" s="5">
        <v>43798</v>
      </c>
      <c r="B193" s="6">
        <v>136.34</v>
      </c>
      <c r="C193" s="6">
        <v>3140.9806277025359</v>
      </c>
      <c r="D193" s="6">
        <v>741.90276968363219</v>
      </c>
      <c r="E193" s="4">
        <v>122.06</v>
      </c>
      <c r="F193" s="9">
        <v>67.819999999999993</v>
      </c>
      <c r="H193" s="1">
        <v>43798</v>
      </c>
      <c r="I193" s="3">
        <f t="shared" si="10"/>
        <v>5.8711287244982029E-2</v>
      </c>
      <c r="J193" s="3">
        <f t="shared" si="11"/>
        <v>0.20685579196215476</v>
      </c>
      <c r="K193" s="3">
        <f t="shared" si="12"/>
        <v>-0.40104423090637314</v>
      </c>
      <c r="L193" s="3">
        <f t="shared" si="13"/>
        <v>0.18345843899675679</v>
      </c>
      <c r="M193" s="3">
        <f t="shared" si="14"/>
        <v>0.24638633377135113</v>
      </c>
    </row>
    <row r="194" spans="1:13" x14ac:dyDescent="0.15">
      <c r="A194" s="5">
        <v>43801</v>
      </c>
      <c r="B194" s="6">
        <v>136.30000000000001</v>
      </c>
      <c r="C194" s="6">
        <v>3113.8736307849322</v>
      </c>
      <c r="D194" s="6">
        <v>744.23726439629615</v>
      </c>
      <c r="E194" s="4">
        <v>122.72</v>
      </c>
      <c r="F194" s="9">
        <v>67.569999999999993</v>
      </c>
      <c r="H194" s="1">
        <v>43801</v>
      </c>
      <c r="I194" s="3">
        <f t="shared" si="10"/>
        <v>-2.933841865922843E-2</v>
      </c>
      <c r="J194" s="3">
        <f t="shared" si="11"/>
        <v>-0.36862282512533179</v>
      </c>
      <c r="K194" s="3">
        <f t="shared" si="12"/>
        <v>-0.86301063682239565</v>
      </c>
      <c r="L194" s="3">
        <f t="shared" si="13"/>
        <v>0.31466316181289644</v>
      </c>
      <c r="M194" s="3">
        <f t="shared" si="14"/>
        <v>0.54071767982958918</v>
      </c>
    </row>
    <row r="195" spans="1:13" x14ac:dyDescent="0.15">
      <c r="A195" s="5">
        <v>43802</v>
      </c>
      <c r="B195" s="6">
        <v>136.03</v>
      </c>
      <c r="C195" s="6">
        <v>3093.2009127132724</v>
      </c>
      <c r="D195" s="6">
        <v>744.16630532030388</v>
      </c>
      <c r="E195" s="4">
        <v>122.95</v>
      </c>
      <c r="F195" s="9">
        <v>67.3</v>
      </c>
      <c r="H195" s="1">
        <v>43802</v>
      </c>
      <c r="I195" s="3">
        <f t="shared" si="10"/>
        <v>-0.19809244314013957</v>
      </c>
      <c r="J195" s="3">
        <f t="shared" si="11"/>
        <v>-0.39958561491785716</v>
      </c>
      <c r="K195" s="3">
        <f t="shared" si="12"/>
        <v>-0.66389072013974793</v>
      </c>
      <c r="L195" s="3">
        <f t="shared" si="13"/>
        <v>-9.5344696358139955E-3</v>
      </c>
      <c r="M195" s="3">
        <f t="shared" si="14"/>
        <v>0.18741851368970336</v>
      </c>
    </row>
    <row r="196" spans="1:13" x14ac:dyDescent="0.15">
      <c r="A196" s="5">
        <v>43803</v>
      </c>
      <c r="B196" s="6">
        <v>137.49</v>
      </c>
      <c r="C196" s="6">
        <v>3112.7563453632383</v>
      </c>
      <c r="D196" s="6">
        <v>753.59153944862999</v>
      </c>
      <c r="E196" s="4">
        <v>124.53</v>
      </c>
      <c r="F196" s="9">
        <v>68.08</v>
      </c>
      <c r="H196" s="1">
        <v>43803</v>
      </c>
      <c r="I196" s="3">
        <f t="shared" si="10"/>
        <v>1.0732926560317635</v>
      </c>
      <c r="J196" s="3">
        <f t="shared" si="11"/>
        <v>1.1589895988112946</v>
      </c>
      <c r="K196" s="3">
        <f t="shared" si="12"/>
        <v>0.63220699856875617</v>
      </c>
      <c r="L196" s="3">
        <f t="shared" si="13"/>
        <v>1.2665494340366974</v>
      </c>
      <c r="M196" s="3">
        <f t="shared" si="14"/>
        <v>1.2850752338348908</v>
      </c>
    </row>
    <row r="197" spans="1:13" x14ac:dyDescent="0.15">
      <c r="A197" s="5">
        <v>43804</v>
      </c>
      <c r="B197" s="6">
        <v>136.52000000000001</v>
      </c>
      <c r="C197" s="6">
        <v>3117.4285883067314</v>
      </c>
      <c r="D197" s="6">
        <v>752.97862019894558</v>
      </c>
      <c r="E197" s="4">
        <v>124.62</v>
      </c>
      <c r="F197" s="9">
        <v>67.819999999999993</v>
      </c>
      <c r="H197" s="1">
        <v>43804</v>
      </c>
      <c r="I197" s="3">
        <f t="shared" ref="I197:I254" si="15">((B197-B196)/B196)*100</f>
        <v>-0.70550585497126972</v>
      </c>
      <c r="J197" s="3">
        <f t="shared" ref="J197:J254" si="16">((F197-F196)/F196)*100</f>
        <v>-0.38190364277321553</v>
      </c>
      <c r="K197" s="3">
        <f t="shared" ref="K197:K254" si="17">((C197-C196)/C196)*100</f>
        <v>0.15009986086616922</v>
      </c>
      <c r="L197" s="3">
        <f t="shared" ref="L197:L254" si="18">((D197-D196)/D196)*100</f>
        <v>-8.1333085312085121E-2</v>
      </c>
      <c r="M197" s="3">
        <f t="shared" ref="M197:M254" si="19">((E197-E196)/E196)*100</f>
        <v>7.2271741748978879E-2</v>
      </c>
    </row>
    <row r="198" spans="1:13" x14ac:dyDescent="0.15">
      <c r="A198" s="5">
        <v>43805</v>
      </c>
      <c r="B198" s="6">
        <v>136.97999999999999</v>
      </c>
      <c r="C198" s="6">
        <v>3145.9110261640335</v>
      </c>
      <c r="D198" s="6">
        <v>752.48542732343492</v>
      </c>
      <c r="E198" s="4">
        <v>124.19</v>
      </c>
      <c r="F198" s="9">
        <v>68.239999999999995</v>
      </c>
      <c r="H198" s="1">
        <v>43805</v>
      </c>
      <c r="I198" s="3">
        <f t="shared" si="15"/>
        <v>0.3369469674772777</v>
      </c>
      <c r="J198" s="3">
        <f t="shared" si="16"/>
        <v>0.61928634621055989</v>
      </c>
      <c r="K198" s="3">
        <f t="shared" si="17"/>
        <v>0.91365165393484382</v>
      </c>
      <c r="L198" s="3">
        <f t="shared" si="18"/>
        <v>-6.5498921520554074E-2</v>
      </c>
      <c r="M198" s="3">
        <f t="shared" si="19"/>
        <v>-0.3450489488043707</v>
      </c>
    </row>
    <row r="199" spans="1:13" x14ac:dyDescent="0.15">
      <c r="A199" s="5">
        <v>43808</v>
      </c>
      <c r="B199" s="6">
        <v>136.97999999999999</v>
      </c>
      <c r="C199" s="6">
        <v>3135.9613835822133</v>
      </c>
      <c r="D199" s="6">
        <v>756.05268702048852</v>
      </c>
      <c r="E199" s="4">
        <v>124.87</v>
      </c>
      <c r="F199" s="9">
        <v>68.599999999999994</v>
      </c>
      <c r="H199" s="1">
        <v>43808</v>
      </c>
      <c r="I199" s="3">
        <f t="shared" si="15"/>
        <v>0</v>
      </c>
      <c r="J199" s="3">
        <f t="shared" si="16"/>
        <v>0.5275498241500578</v>
      </c>
      <c r="K199" s="3">
        <f t="shared" si="17"/>
        <v>-0.31627221809741607</v>
      </c>
      <c r="L199" s="3">
        <f t="shared" si="18"/>
        <v>0.47406362535713442</v>
      </c>
      <c r="M199" s="3">
        <f t="shared" si="19"/>
        <v>0.54754811176423779</v>
      </c>
    </row>
    <row r="200" spans="1:13" x14ac:dyDescent="0.15">
      <c r="A200" s="5">
        <v>43809</v>
      </c>
      <c r="B200" s="6">
        <v>136.12</v>
      </c>
      <c r="C200" s="6">
        <v>3132.5186065152216</v>
      </c>
      <c r="D200" s="6">
        <v>751.63402553102628</v>
      </c>
      <c r="E200" s="4">
        <v>124.27</v>
      </c>
      <c r="F200" s="9">
        <v>67.930000000000007</v>
      </c>
      <c r="H200" s="1">
        <v>43809</v>
      </c>
      <c r="I200" s="3">
        <f t="shared" si="15"/>
        <v>-0.62782888012847515</v>
      </c>
      <c r="J200" s="3">
        <f t="shared" si="16"/>
        <v>-0.97667638483963193</v>
      </c>
      <c r="K200" s="3">
        <f t="shared" si="17"/>
        <v>-0.1097837838506505</v>
      </c>
      <c r="L200" s="3">
        <f t="shared" si="18"/>
        <v>-0.58443830242514505</v>
      </c>
      <c r="M200" s="3">
        <f t="shared" si="19"/>
        <v>-0.48049971970850369</v>
      </c>
    </row>
    <row r="201" spans="1:13" x14ac:dyDescent="0.15">
      <c r="A201" s="5">
        <v>43810</v>
      </c>
      <c r="B201" s="6">
        <v>136.9</v>
      </c>
      <c r="C201" s="6">
        <v>3141.6266769632507</v>
      </c>
      <c r="D201" s="6">
        <v>752.98941986455918</v>
      </c>
      <c r="E201" s="4">
        <v>124.66</v>
      </c>
      <c r="F201" s="9">
        <v>67.459999999999994</v>
      </c>
      <c r="H201" s="1">
        <v>43810</v>
      </c>
      <c r="I201" s="3">
        <f t="shared" si="15"/>
        <v>0.57302380252718277</v>
      </c>
      <c r="J201" s="3">
        <f t="shared" si="16"/>
        <v>-0.69188870896513033</v>
      </c>
      <c r="K201" s="3">
        <f t="shared" si="17"/>
        <v>0.29075870224954342</v>
      </c>
      <c r="L201" s="3">
        <f t="shared" si="18"/>
        <v>0.18032636728696774</v>
      </c>
      <c r="M201" s="3">
        <f t="shared" si="19"/>
        <v>0.31383278345537985</v>
      </c>
    </row>
    <row r="202" spans="1:13" x14ac:dyDescent="0.15">
      <c r="A202" s="5">
        <v>43811</v>
      </c>
      <c r="B202" s="6">
        <v>135.91999999999999</v>
      </c>
      <c r="C202" s="6">
        <v>3168.5691707344458</v>
      </c>
      <c r="D202" s="6">
        <v>751.81575116939212</v>
      </c>
      <c r="E202" s="4">
        <v>124.57</v>
      </c>
      <c r="F202" s="9">
        <v>67.23</v>
      </c>
      <c r="H202" s="1">
        <v>43811</v>
      </c>
      <c r="I202" s="3">
        <f t="shared" si="15"/>
        <v>-0.71585098612126963</v>
      </c>
      <c r="J202" s="3">
        <f t="shared" si="16"/>
        <v>-0.34094278090718916</v>
      </c>
      <c r="K202" s="3">
        <f t="shared" si="17"/>
        <v>0.85759692482743366</v>
      </c>
      <c r="L202" s="3">
        <f t="shared" si="18"/>
        <v>-0.15586788661362266</v>
      </c>
      <c r="M202" s="3">
        <f t="shared" si="19"/>
        <v>-7.2196374137657157E-2</v>
      </c>
    </row>
    <row r="203" spans="1:13" x14ac:dyDescent="0.15">
      <c r="A203" s="5">
        <v>43812</v>
      </c>
      <c r="B203" s="6">
        <v>135.94</v>
      </c>
      <c r="C203" s="6">
        <v>3168.7996331577629</v>
      </c>
      <c r="D203" s="6">
        <v>757.71371818714772</v>
      </c>
      <c r="E203" s="4">
        <v>125.47</v>
      </c>
      <c r="F203" s="9">
        <v>68.69</v>
      </c>
      <c r="H203" s="1">
        <v>43812</v>
      </c>
      <c r="I203" s="3">
        <f t="shared" si="15"/>
        <v>1.4714537963515475E-2</v>
      </c>
      <c r="J203" s="3">
        <f t="shared" si="16"/>
        <v>2.1716495612077846</v>
      </c>
      <c r="K203" s="3">
        <f t="shared" si="17"/>
        <v>7.2733909502629701E-3</v>
      </c>
      <c r="L203" s="3">
        <f t="shared" si="18"/>
        <v>0.78449633551595144</v>
      </c>
      <c r="M203" s="3">
        <f t="shared" si="19"/>
        <v>0.72248534960263766</v>
      </c>
    </row>
    <row r="204" spans="1:13" x14ac:dyDescent="0.15">
      <c r="A204" s="5">
        <v>43815</v>
      </c>
      <c r="B204" s="6">
        <v>135.82</v>
      </c>
      <c r="C204" s="6">
        <v>3191.4490189645671</v>
      </c>
      <c r="D204" s="6">
        <v>757.81364385087466</v>
      </c>
      <c r="E204" s="4">
        <v>125.56</v>
      </c>
      <c r="F204" s="9">
        <v>68.87</v>
      </c>
      <c r="H204" s="1">
        <v>43815</v>
      </c>
      <c r="I204" s="3">
        <f t="shared" si="15"/>
        <v>-8.8274238634695121E-2</v>
      </c>
      <c r="J204" s="3">
        <f t="shared" si="16"/>
        <v>0.26204687727472242</v>
      </c>
      <c r="K204" s="3">
        <f t="shared" si="17"/>
        <v>0.71476232103175852</v>
      </c>
      <c r="L204" s="3">
        <f t="shared" si="18"/>
        <v>1.31877860105279E-2</v>
      </c>
      <c r="M204" s="3">
        <f t="shared" si="19"/>
        <v>7.1730294094208502E-2</v>
      </c>
    </row>
    <row r="205" spans="1:13" x14ac:dyDescent="0.15">
      <c r="A205" s="5">
        <v>43816</v>
      </c>
      <c r="B205" s="6">
        <v>135.21</v>
      </c>
      <c r="C205" s="6">
        <v>3192.5185799434958</v>
      </c>
      <c r="D205" s="6">
        <v>754.56797265523676</v>
      </c>
      <c r="E205" s="4">
        <v>125.31</v>
      </c>
      <c r="F205" s="9">
        <v>67.84</v>
      </c>
      <c r="H205" s="1">
        <v>43816</v>
      </c>
      <c r="I205" s="3">
        <f t="shared" si="15"/>
        <v>-0.44912384037695863</v>
      </c>
      <c r="J205" s="3">
        <f t="shared" si="16"/>
        <v>-1.4955713663423857</v>
      </c>
      <c r="K205" s="3">
        <f t="shared" si="17"/>
        <v>3.351333430592067E-2</v>
      </c>
      <c r="L205" s="3">
        <f t="shared" si="18"/>
        <v>-0.42829410924100381</v>
      </c>
      <c r="M205" s="3">
        <f t="shared" si="19"/>
        <v>-0.19910799617712649</v>
      </c>
    </row>
    <row r="206" spans="1:13" x14ac:dyDescent="0.15">
      <c r="A206" s="5">
        <v>43817</v>
      </c>
      <c r="B206" s="6">
        <v>135.19</v>
      </c>
      <c r="C206" s="6">
        <v>3191.1420439248</v>
      </c>
      <c r="D206" s="6">
        <v>749.65692286601654</v>
      </c>
      <c r="E206" s="4">
        <v>124.01</v>
      </c>
      <c r="F206" s="9">
        <v>68.27</v>
      </c>
      <c r="H206" s="1">
        <v>43817</v>
      </c>
      <c r="I206" s="3">
        <f t="shared" si="15"/>
        <v>-1.4791805339849293E-2</v>
      </c>
      <c r="J206" s="3">
        <f t="shared" si="16"/>
        <v>0.63384433962263065</v>
      </c>
      <c r="K206" s="3">
        <f t="shared" si="17"/>
        <v>-4.3117557007926674E-2</v>
      </c>
      <c r="L206" s="3">
        <f t="shared" si="18"/>
        <v>-0.6508425969815288</v>
      </c>
      <c r="M206" s="3">
        <f t="shared" si="19"/>
        <v>-1.0374271805921293</v>
      </c>
    </row>
    <row r="207" spans="1:13" x14ac:dyDescent="0.15">
      <c r="A207" s="5">
        <v>43818</v>
      </c>
      <c r="B207" s="6">
        <v>136.74</v>
      </c>
      <c r="C207" s="6">
        <v>3205.3683778174791</v>
      </c>
      <c r="D207" s="6">
        <v>755.13440842170235</v>
      </c>
      <c r="E207" s="4">
        <v>124.92</v>
      </c>
      <c r="F207" s="9">
        <v>68.34</v>
      </c>
      <c r="H207" s="1">
        <v>43818</v>
      </c>
      <c r="I207" s="3">
        <f t="shared" si="15"/>
        <v>1.1465345069901705</v>
      </c>
      <c r="J207" s="3">
        <f t="shared" si="16"/>
        <v>0.10253405595430994</v>
      </c>
      <c r="K207" s="3">
        <f t="shared" si="17"/>
        <v>0.44580697746635212</v>
      </c>
      <c r="L207" s="3">
        <f t="shared" si="18"/>
        <v>0.73066564032315007</v>
      </c>
      <c r="M207" s="3">
        <f t="shared" si="19"/>
        <v>0.73381178937182212</v>
      </c>
    </row>
    <row r="208" spans="1:13" x14ac:dyDescent="0.15">
      <c r="A208" s="5">
        <v>43819</v>
      </c>
      <c r="B208" s="6">
        <v>138.01</v>
      </c>
      <c r="C208" s="6">
        <v>3221.2245831094338</v>
      </c>
      <c r="D208" s="6">
        <v>758.97536694433677</v>
      </c>
      <c r="E208" s="4">
        <v>125.36</v>
      </c>
      <c r="F208" s="9">
        <v>68.849999999999994</v>
      </c>
      <c r="H208" s="1">
        <v>43819</v>
      </c>
      <c r="I208" s="3">
        <f t="shared" si="15"/>
        <v>0.92876992833112593</v>
      </c>
      <c r="J208" s="3">
        <f t="shared" si="16"/>
        <v>0.74626865671640452</v>
      </c>
      <c r="K208" s="3">
        <f t="shared" si="17"/>
        <v>0.49467653707718562</v>
      </c>
      <c r="L208" s="3">
        <f t="shared" si="18"/>
        <v>0.50864567682227146</v>
      </c>
      <c r="M208" s="3">
        <f t="shared" si="19"/>
        <v>0.35222542427153197</v>
      </c>
    </row>
    <row r="209" spans="1:13" x14ac:dyDescent="0.15">
      <c r="A209" s="5">
        <v>43822</v>
      </c>
      <c r="B209" s="6">
        <v>136.97</v>
      </c>
      <c r="C209" s="6">
        <v>3224.0098859051418</v>
      </c>
      <c r="D209" s="6">
        <v>756.17544847022589</v>
      </c>
      <c r="E209" s="4">
        <v>124.9</v>
      </c>
      <c r="F209" s="9">
        <v>68.72</v>
      </c>
      <c r="H209" s="1">
        <v>43822</v>
      </c>
      <c r="I209" s="3">
        <f t="shared" si="15"/>
        <v>-0.75356858198680687</v>
      </c>
      <c r="J209" s="3">
        <f t="shared" si="16"/>
        <v>-0.1888162672476332</v>
      </c>
      <c r="K209" s="3">
        <f t="shared" si="17"/>
        <v>8.6467202886531064E-2</v>
      </c>
      <c r="L209" s="3">
        <f t="shared" si="18"/>
        <v>-0.36890768739747887</v>
      </c>
      <c r="M209" s="3">
        <f t="shared" si="19"/>
        <v>-0.36694320357370275</v>
      </c>
    </row>
    <row r="210" spans="1:13" x14ac:dyDescent="0.15">
      <c r="A210" s="5">
        <v>43823</v>
      </c>
      <c r="B210" s="6">
        <v>137.22999999999999</v>
      </c>
      <c r="C210" s="6">
        <v>3223.3757001893691</v>
      </c>
      <c r="D210" s="6">
        <v>757.52241661659082</v>
      </c>
      <c r="E210" s="4">
        <v>125.22</v>
      </c>
      <c r="F210" s="9">
        <v>68.55</v>
      </c>
      <c r="H210" s="1">
        <v>43823</v>
      </c>
      <c r="I210" s="3">
        <f t="shared" si="15"/>
        <v>0.18982258888807105</v>
      </c>
      <c r="J210" s="3">
        <f t="shared" si="16"/>
        <v>-0.24738067520372772</v>
      </c>
      <c r="K210" s="3">
        <f t="shared" si="17"/>
        <v>-1.9670712504488048E-2</v>
      </c>
      <c r="L210" s="3">
        <f t="shared" si="18"/>
        <v>0.17812905048555883</v>
      </c>
      <c r="M210" s="3">
        <f t="shared" si="19"/>
        <v>0.25620496397117148</v>
      </c>
    </row>
    <row r="211" spans="1:13" x14ac:dyDescent="0.15">
      <c r="A211" s="5">
        <v>43825</v>
      </c>
      <c r="B211" s="6">
        <v>137.22999999999999</v>
      </c>
      <c r="C211" s="6">
        <v>3239.9071377461237</v>
      </c>
      <c r="D211" s="6">
        <v>757.66968208989897</v>
      </c>
      <c r="E211" s="4">
        <v>125.22</v>
      </c>
      <c r="F211" s="9">
        <v>68.58</v>
      </c>
      <c r="H211" s="1">
        <v>43825</v>
      </c>
      <c r="I211" s="3">
        <f t="shared" si="15"/>
        <v>0</v>
      </c>
      <c r="J211" s="3">
        <f t="shared" si="16"/>
        <v>4.3763676148798163E-2</v>
      </c>
      <c r="K211" s="3">
        <f t="shared" si="17"/>
        <v>0.51286102193372474</v>
      </c>
      <c r="L211" s="3">
        <f t="shared" si="18"/>
        <v>1.94404112773192E-2</v>
      </c>
      <c r="M211" s="3">
        <f t="shared" si="19"/>
        <v>0</v>
      </c>
    </row>
    <row r="212" spans="1:13" x14ac:dyDescent="0.15">
      <c r="A212" s="5">
        <v>43826</v>
      </c>
      <c r="B212" s="6">
        <v>138.07</v>
      </c>
      <c r="C212" s="6">
        <v>3240.0203584226101</v>
      </c>
      <c r="D212" s="6">
        <v>762.88156824151645</v>
      </c>
      <c r="E212" s="4">
        <v>126.09</v>
      </c>
      <c r="F212" s="9">
        <v>69.180000000000007</v>
      </c>
      <c r="H212" s="1">
        <v>43826</v>
      </c>
      <c r="I212" s="3">
        <f t="shared" si="15"/>
        <v>0.61211105443416425</v>
      </c>
      <c r="J212" s="3">
        <f t="shared" si="16"/>
        <v>0.8748906386701788</v>
      </c>
      <c r="K212" s="3">
        <f t="shared" si="17"/>
        <v>3.4945654820587903E-3</v>
      </c>
      <c r="L212" s="3">
        <f t="shared" si="18"/>
        <v>0.68788368794715449</v>
      </c>
      <c r="M212" s="3">
        <f t="shared" si="19"/>
        <v>0.69477719214183398</v>
      </c>
    </row>
    <row r="213" spans="1:13" x14ac:dyDescent="0.15">
      <c r="A213" s="5">
        <v>43829</v>
      </c>
      <c r="B213" s="6">
        <v>136.88999999999999</v>
      </c>
      <c r="C213" s="6">
        <v>3221.2918082338774</v>
      </c>
      <c r="D213" s="6">
        <v>754.63710215170011</v>
      </c>
      <c r="E213" s="4">
        <v>124.47</v>
      </c>
      <c r="F213" s="9">
        <v>68.790000000000006</v>
      </c>
      <c r="H213" s="1">
        <v>43829</v>
      </c>
      <c r="I213" s="3">
        <f t="shared" si="15"/>
        <v>-0.85463895125661404</v>
      </c>
      <c r="J213" s="3">
        <f t="shared" si="16"/>
        <v>-0.56374674761491839</v>
      </c>
      <c r="K213" s="3">
        <f t="shared" si="17"/>
        <v>-0.57803804041066609</v>
      </c>
      <c r="L213" s="3">
        <f t="shared" si="18"/>
        <v>-1.0807006530280034</v>
      </c>
      <c r="M213" s="3">
        <f t="shared" si="19"/>
        <v>-1.2847965738758067</v>
      </c>
    </row>
    <row r="214" spans="1:13" x14ac:dyDescent="0.15">
      <c r="A214" s="5">
        <v>43830</v>
      </c>
      <c r="B214" s="6">
        <v>137.55000000000001</v>
      </c>
      <c r="C214" s="6">
        <v>3230.7819500904302</v>
      </c>
      <c r="D214" s="6">
        <v>757.0070334477922</v>
      </c>
      <c r="E214" s="4">
        <v>124.9</v>
      </c>
      <c r="F214" s="9">
        <v>68.84</v>
      </c>
      <c r="H214" s="1">
        <v>43830</v>
      </c>
      <c r="I214" s="3">
        <f t="shared" si="15"/>
        <v>0.48213894367742355</v>
      </c>
      <c r="J214" s="3">
        <f t="shared" si="16"/>
        <v>7.2684983282449711E-2</v>
      </c>
      <c r="K214" s="3">
        <f t="shared" si="17"/>
        <v>0.29460671126705212</v>
      </c>
      <c r="L214" s="3">
        <f t="shared" si="18"/>
        <v>0.31404913558247999</v>
      </c>
      <c r="M214" s="3">
        <f t="shared" si="19"/>
        <v>0.34546477062746594</v>
      </c>
    </row>
    <row r="215" spans="1:13" x14ac:dyDescent="0.15">
      <c r="A215" s="5">
        <v>43832</v>
      </c>
      <c r="B215" s="6">
        <v>135.83000000000001</v>
      </c>
      <c r="C215" s="6">
        <v>3257.8477866115977</v>
      </c>
      <c r="D215" s="6">
        <v>748.48075850820135</v>
      </c>
      <c r="E215" s="4">
        <v>123.41</v>
      </c>
      <c r="F215" s="9">
        <v>68.12</v>
      </c>
      <c r="H215" s="1">
        <v>43832</v>
      </c>
      <c r="I215" s="3">
        <f t="shared" si="15"/>
        <v>-1.2504543802253716</v>
      </c>
      <c r="J215" s="3">
        <f t="shared" si="16"/>
        <v>-1.0459035444508988</v>
      </c>
      <c r="K215" s="3">
        <f t="shared" si="17"/>
        <v>0.83774878463741365</v>
      </c>
      <c r="L215" s="3">
        <f t="shared" si="18"/>
        <v>-1.1263138336717808</v>
      </c>
      <c r="M215" s="3">
        <f t="shared" si="19"/>
        <v>-1.1929543634907998</v>
      </c>
    </row>
    <row r="216" spans="1:13" x14ac:dyDescent="0.15">
      <c r="A216" s="5">
        <v>43833</v>
      </c>
      <c r="B216" s="6">
        <v>135.79</v>
      </c>
      <c r="C216" s="6">
        <v>3234.848563238078</v>
      </c>
      <c r="D216" s="6">
        <v>745.02586906771717</v>
      </c>
      <c r="E216" s="4">
        <v>122.58</v>
      </c>
      <c r="F216" s="9">
        <v>68.02</v>
      </c>
      <c r="H216" s="1">
        <v>43833</v>
      </c>
      <c r="I216" s="3">
        <f t="shared" si="15"/>
        <v>-2.9448575425178872E-2</v>
      </c>
      <c r="J216" s="3">
        <f t="shared" si="16"/>
        <v>-0.14679976512038831</v>
      </c>
      <c r="K216" s="3">
        <f t="shared" si="17"/>
        <v>-0.70596371837987604</v>
      </c>
      <c r="L216" s="3">
        <f t="shared" si="18"/>
        <v>-0.4615869414425734</v>
      </c>
      <c r="M216" s="3">
        <f t="shared" si="19"/>
        <v>-0.67255489830645676</v>
      </c>
    </row>
    <row r="217" spans="1:13" x14ac:dyDescent="0.15">
      <c r="A217" s="5">
        <v>43836</v>
      </c>
      <c r="B217" s="6">
        <v>136.09</v>
      </c>
      <c r="C217" s="6">
        <v>3246.28255667863</v>
      </c>
      <c r="D217" s="6">
        <v>746.78202294735206</v>
      </c>
      <c r="E217" s="4">
        <v>122.75</v>
      </c>
      <c r="F217" s="9">
        <v>68.489999999999995</v>
      </c>
      <c r="H217" s="1">
        <v>43836</v>
      </c>
      <c r="I217" s="3">
        <f t="shared" si="15"/>
        <v>0.22092937624273615</v>
      </c>
      <c r="J217" s="3">
        <f t="shared" si="16"/>
        <v>0.69097324316377373</v>
      </c>
      <c r="K217" s="3">
        <f t="shared" si="17"/>
        <v>0.35346302051019812</v>
      </c>
      <c r="L217" s="3">
        <f t="shared" si="18"/>
        <v>0.23571716802699011</v>
      </c>
      <c r="M217" s="3">
        <f t="shared" si="19"/>
        <v>0.13868494044705637</v>
      </c>
    </row>
    <row r="218" spans="1:13" x14ac:dyDescent="0.15">
      <c r="A218" s="5">
        <v>43837</v>
      </c>
      <c r="B218" s="6">
        <v>135.97</v>
      </c>
      <c r="C218" s="6">
        <v>3237.1824519689726</v>
      </c>
      <c r="D218" s="6">
        <v>741.54633482751399</v>
      </c>
      <c r="E218" s="4">
        <v>121.99</v>
      </c>
      <c r="F218" s="9">
        <v>67.55</v>
      </c>
      <c r="H218" s="1">
        <v>43837</v>
      </c>
      <c r="I218" s="3">
        <f t="shared" si="15"/>
        <v>-8.8176941729741012E-2</v>
      </c>
      <c r="J218" s="3">
        <f t="shared" si="16"/>
        <v>-1.3724631333041288</v>
      </c>
      <c r="K218" s="3">
        <f t="shared" si="17"/>
        <v>-0.28032386432091838</v>
      </c>
      <c r="L218" s="3">
        <f t="shared" si="18"/>
        <v>-0.70109991389109649</v>
      </c>
      <c r="M218" s="3">
        <f t="shared" si="19"/>
        <v>-0.619144602851328</v>
      </c>
    </row>
    <row r="219" spans="1:13" x14ac:dyDescent="0.15">
      <c r="A219" s="5">
        <v>43838</v>
      </c>
      <c r="B219" s="6">
        <v>137.29</v>
      </c>
      <c r="C219" s="6">
        <v>3253.0459435601724</v>
      </c>
      <c r="D219" s="6">
        <v>746.75563009527013</v>
      </c>
      <c r="E219" s="4">
        <v>122.51</v>
      </c>
      <c r="F219" s="9">
        <v>69.27</v>
      </c>
      <c r="H219" s="1">
        <v>43838</v>
      </c>
      <c r="I219" s="3">
        <f t="shared" si="15"/>
        <v>0.97080238287857112</v>
      </c>
      <c r="J219" s="3">
        <f t="shared" si="16"/>
        <v>2.5462620281273116</v>
      </c>
      <c r="K219" s="3">
        <f t="shared" si="17"/>
        <v>0.49004008351617817</v>
      </c>
      <c r="L219" s="3">
        <f t="shared" si="18"/>
        <v>0.70249086578896591</v>
      </c>
      <c r="M219" s="3">
        <f t="shared" si="19"/>
        <v>0.42626444790557444</v>
      </c>
    </row>
    <row r="220" spans="1:13" x14ac:dyDescent="0.15">
      <c r="A220" s="5">
        <v>43839</v>
      </c>
      <c r="B220" s="6">
        <v>139.46</v>
      </c>
      <c r="C220" s="6">
        <v>3274.7041934341169</v>
      </c>
      <c r="D220" s="6">
        <v>754.79479009948614</v>
      </c>
      <c r="E220" s="4">
        <v>123.85</v>
      </c>
      <c r="F220" s="9">
        <v>69.86</v>
      </c>
      <c r="H220" s="1">
        <v>43839</v>
      </c>
      <c r="I220" s="3">
        <f t="shared" si="15"/>
        <v>1.5805958190691354</v>
      </c>
      <c r="J220" s="3">
        <f t="shared" si="16"/>
        <v>0.85173956979934085</v>
      </c>
      <c r="K220" s="3">
        <f t="shared" si="17"/>
        <v>0.66578370701525946</v>
      </c>
      <c r="L220" s="3">
        <f t="shared" si="18"/>
        <v>1.0765449472661326</v>
      </c>
      <c r="M220" s="3">
        <f t="shared" si="19"/>
        <v>1.09378826218267</v>
      </c>
    </row>
    <row r="221" spans="1:13" x14ac:dyDescent="0.15">
      <c r="A221" s="5">
        <v>43840</v>
      </c>
      <c r="B221" s="6">
        <v>140.22999999999999</v>
      </c>
      <c r="C221" s="6">
        <v>3265.3511353379699</v>
      </c>
      <c r="D221" s="6">
        <v>756.47301759395509</v>
      </c>
      <c r="E221" s="4">
        <v>123.97</v>
      </c>
      <c r="F221" s="9">
        <v>70.150000000000006</v>
      </c>
      <c r="H221" s="1">
        <v>43840</v>
      </c>
      <c r="I221" s="3">
        <f t="shared" si="15"/>
        <v>0.55212964290834776</v>
      </c>
      <c r="J221" s="3">
        <f t="shared" si="16"/>
        <v>0.4151159461780794</v>
      </c>
      <c r="K221" s="3">
        <f t="shared" si="17"/>
        <v>-0.28561535771383856</v>
      </c>
      <c r="L221" s="3">
        <f t="shared" si="18"/>
        <v>0.2223422202275345</v>
      </c>
      <c r="M221" s="3">
        <f t="shared" si="19"/>
        <v>9.6891400888174856E-2</v>
      </c>
    </row>
    <row r="222" spans="1:13" x14ac:dyDescent="0.15">
      <c r="A222" s="5">
        <v>43843</v>
      </c>
      <c r="B222" s="6">
        <v>140.9</v>
      </c>
      <c r="C222" s="6">
        <v>3288.1335398178521</v>
      </c>
      <c r="D222" s="6">
        <v>761.44798286961668</v>
      </c>
      <c r="E222" s="4">
        <v>124.88</v>
      </c>
      <c r="F222" s="9">
        <v>70.14</v>
      </c>
      <c r="H222" s="1">
        <v>43843</v>
      </c>
      <c r="I222" s="3">
        <f t="shared" si="15"/>
        <v>0.47778649361763958</v>
      </c>
      <c r="J222" s="3">
        <f t="shared" si="16"/>
        <v>-1.4255167498225396E-2</v>
      </c>
      <c r="K222" s="3">
        <f t="shared" si="17"/>
        <v>0.69770151924332535</v>
      </c>
      <c r="L222" s="3">
        <f t="shared" si="18"/>
        <v>0.65765270669997045</v>
      </c>
      <c r="M222" s="3">
        <f t="shared" si="19"/>
        <v>0.73404856013551389</v>
      </c>
    </row>
    <row r="223" spans="1:13" x14ac:dyDescent="0.15">
      <c r="A223" s="5">
        <v>43844</v>
      </c>
      <c r="B223" s="6">
        <v>140.99</v>
      </c>
      <c r="C223" s="6">
        <v>3283.1524483937824</v>
      </c>
      <c r="D223" s="6">
        <v>761.07753156514241</v>
      </c>
      <c r="E223" s="4">
        <v>124.69</v>
      </c>
      <c r="F223" s="9">
        <v>70.290000000000006</v>
      </c>
      <c r="H223" s="1">
        <v>43844</v>
      </c>
      <c r="I223" s="3">
        <f t="shared" si="15"/>
        <v>6.3875088715403414E-2</v>
      </c>
      <c r="J223" s="3">
        <f t="shared" si="16"/>
        <v>0.21385799828914412</v>
      </c>
      <c r="K223" s="3">
        <f t="shared" si="17"/>
        <v>-0.15148689564310322</v>
      </c>
      <c r="L223" s="3">
        <f t="shared" si="18"/>
        <v>-4.8650901021259282E-2</v>
      </c>
      <c r="M223" s="3">
        <f t="shared" si="19"/>
        <v>-0.1521460602178073</v>
      </c>
    </row>
    <row r="224" spans="1:13" x14ac:dyDescent="0.15">
      <c r="A224" s="5">
        <v>43845</v>
      </c>
      <c r="B224" s="6">
        <v>142.16</v>
      </c>
      <c r="C224" s="6">
        <v>3289.2925874927155</v>
      </c>
      <c r="D224" s="6">
        <v>768.11562428687284</v>
      </c>
      <c r="E224" s="4">
        <v>125.96</v>
      </c>
      <c r="F224" s="9">
        <v>70.8</v>
      </c>
      <c r="H224" s="1">
        <v>43845</v>
      </c>
      <c r="I224" s="3">
        <f t="shared" si="15"/>
        <v>0.82984608837505314</v>
      </c>
      <c r="J224" s="3">
        <f t="shared" si="16"/>
        <v>0.72556551429789562</v>
      </c>
      <c r="K224" s="3">
        <f t="shared" si="17"/>
        <v>0.1870196159163138</v>
      </c>
      <c r="L224" s="3">
        <f t="shared" si="18"/>
        <v>0.92475371165625186</v>
      </c>
      <c r="M224" s="3">
        <f t="shared" si="19"/>
        <v>1.0185259443419648</v>
      </c>
    </row>
    <row r="225" spans="1:13" x14ac:dyDescent="0.15">
      <c r="A225" s="5">
        <v>43846</v>
      </c>
      <c r="B225" s="6">
        <v>143.43</v>
      </c>
      <c r="C225" s="6">
        <v>3316.8058915649876</v>
      </c>
      <c r="D225" s="6">
        <v>769.2578977400899</v>
      </c>
      <c r="E225" s="4">
        <v>126.07</v>
      </c>
      <c r="F225" s="9">
        <v>70.75</v>
      </c>
      <c r="H225" s="1">
        <v>43846</v>
      </c>
      <c r="I225" s="3">
        <f t="shared" si="15"/>
        <v>0.89335959482274208</v>
      </c>
      <c r="J225" s="3">
        <f t="shared" si="16"/>
        <v>-7.0621468926549663E-2</v>
      </c>
      <c r="K225" s="3">
        <f t="shared" si="17"/>
        <v>0.8364504932425102</v>
      </c>
      <c r="L225" s="3">
        <f t="shared" si="18"/>
        <v>0.14871113372775843</v>
      </c>
      <c r="M225" s="3">
        <f t="shared" si="19"/>
        <v>8.7329310892346329E-2</v>
      </c>
    </row>
    <row r="226" spans="1:13" x14ac:dyDescent="0.15">
      <c r="A226" s="5">
        <v>43847</v>
      </c>
      <c r="B226" s="6">
        <v>144.5</v>
      </c>
      <c r="C226" s="6">
        <v>3329.6226582021523</v>
      </c>
      <c r="D226" s="6">
        <v>772.14699838775573</v>
      </c>
      <c r="E226" s="4">
        <v>126.41</v>
      </c>
      <c r="F226" s="9">
        <v>71.180000000000007</v>
      </c>
      <c r="H226" s="1">
        <v>43847</v>
      </c>
      <c r="I226" s="3">
        <f t="shared" si="15"/>
        <v>0.7460085058913708</v>
      </c>
      <c r="J226" s="3">
        <f t="shared" si="16"/>
        <v>0.60777385159011565</v>
      </c>
      <c r="K226" s="3">
        <f t="shared" si="17"/>
        <v>0.38641895414377747</v>
      </c>
      <c r="L226" s="3">
        <f t="shared" si="18"/>
        <v>0.37556983895171808</v>
      </c>
      <c r="M226" s="3">
        <f t="shared" si="19"/>
        <v>0.26969144126279321</v>
      </c>
    </row>
    <row r="227" spans="1:13" x14ac:dyDescent="0.15">
      <c r="A227" s="5">
        <v>43851</v>
      </c>
      <c r="B227" s="6">
        <v>144.59</v>
      </c>
      <c r="C227" s="6">
        <v>3320.7908480590531</v>
      </c>
      <c r="D227" s="6">
        <v>771.52279259625027</v>
      </c>
      <c r="E227" s="4">
        <v>126.09</v>
      </c>
      <c r="F227" s="9">
        <v>71.290000000000006</v>
      </c>
      <c r="H227" s="1">
        <v>43851</v>
      </c>
      <c r="I227" s="3">
        <f t="shared" si="15"/>
        <v>6.2283737024223809E-2</v>
      </c>
      <c r="J227" s="3">
        <f t="shared" si="16"/>
        <v>0.15453779151446953</v>
      </c>
      <c r="K227" s="3">
        <f t="shared" si="17"/>
        <v>-0.26524958079988264</v>
      </c>
      <c r="L227" s="3">
        <f t="shared" si="18"/>
        <v>-8.084027948160169E-2</v>
      </c>
      <c r="M227" s="3">
        <f t="shared" si="19"/>
        <v>-0.25314452970492302</v>
      </c>
    </row>
    <row r="228" spans="1:13" x14ac:dyDescent="0.15">
      <c r="A228" s="5">
        <v>43852</v>
      </c>
      <c r="B228" s="6">
        <v>144.38999999999999</v>
      </c>
      <c r="C228" s="6">
        <v>3321.7468532716007</v>
      </c>
      <c r="D228" s="6">
        <v>771.23364468681837</v>
      </c>
      <c r="E228" s="4">
        <v>126.31</v>
      </c>
      <c r="F228" s="9">
        <v>70.53</v>
      </c>
      <c r="H228" s="1">
        <v>43852</v>
      </c>
      <c r="I228" s="3">
        <f t="shared" si="15"/>
        <v>-0.13832215229270145</v>
      </c>
      <c r="J228" s="3">
        <f t="shared" si="16"/>
        <v>-1.0660681722541803</v>
      </c>
      <c r="K228" s="3">
        <f t="shared" si="17"/>
        <v>2.8788480102753877E-2</v>
      </c>
      <c r="L228" s="3">
        <f t="shared" si="18"/>
        <v>-3.7477558953105276E-2</v>
      </c>
      <c r="M228" s="3">
        <f t="shared" si="19"/>
        <v>0.1744785470695526</v>
      </c>
    </row>
    <row r="229" spans="1:13" x14ac:dyDescent="0.15">
      <c r="A229" s="5">
        <v>43853</v>
      </c>
      <c r="B229" s="6">
        <v>144.65</v>
      </c>
      <c r="C229" s="6">
        <v>3325.5427890205528</v>
      </c>
      <c r="D229" s="6">
        <v>765.38521430061792</v>
      </c>
      <c r="E229" s="4">
        <v>124.99</v>
      </c>
      <c r="F229" s="9">
        <v>70.61</v>
      </c>
      <c r="H229" s="1">
        <v>43853</v>
      </c>
      <c r="I229" s="3">
        <f t="shared" si="15"/>
        <v>0.18006787173628325</v>
      </c>
      <c r="J229" s="3">
        <f t="shared" si="16"/>
        <v>0.11342691053452189</v>
      </c>
      <c r="K229" s="3">
        <f t="shared" si="17"/>
        <v>0.11427528696876856</v>
      </c>
      <c r="L229" s="3">
        <f t="shared" si="18"/>
        <v>-0.7583214796827713</v>
      </c>
      <c r="M229" s="3">
        <f t="shared" si="19"/>
        <v>-1.0450478980286655</v>
      </c>
    </row>
    <row r="230" spans="1:13" x14ac:dyDescent="0.15">
      <c r="A230" s="5">
        <v>43854</v>
      </c>
      <c r="B230" s="6">
        <v>143.41999999999999</v>
      </c>
      <c r="C230" s="6">
        <v>3295.4734493136125</v>
      </c>
      <c r="D230" s="6">
        <v>764.83278099922154</v>
      </c>
      <c r="E230" s="4">
        <v>125.14</v>
      </c>
      <c r="F230" s="9">
        <v>70.3</v>
      </c>
      <c r="H230" s="1">
        <v>43854</v>
      </c>
      <c r="I230" s="3">
        <f t="shared" si="15"/>
        <v>-0.85032837884550172</v>
      </c>
      <c r="J230" s="3">
        <f t="shared" si="16"/>
        <v>-0.43903129868290935</v>
      </c>
      <c r="K230" s="3">
        <f t="shared" si="17"/>
        <v>-0.90419343892418991</v>
      </c>
      <c r="L230" s="3">
        <f t="shared" si="18"/>
        <v>-7.2177158778951728E-2</v>
      </c>
      <c r="M230" s="3">
        <f t="shared" si="19"/>
        <v>0.12000960076806601</v>
      </c>
    </row>
    <row r="231" spans="1:13" x14ac:dyDescent="0.15">
      <c r="A231" s="5">
        <v>43857</v>
      </c>
      <c r="B231" s="6">
        <v>143.96</v>
      </c>
      <c r="C231" s="6">
        <v>3243.6282038311633</v>
      </c>
      <c r="D231" s="6">
        <v>767.93096094734244</v>
      </c>
      <c r="E231" s="4">
        <v>125.69</v>
      </c>
      <c r="F231" s="9">
        <v>70.099999999999994</v>
      </c>
      <c r="H231" s="1">
        <v>43857</v>
      </c>
      <c r="I231" s="3">
        <f t="shared" si="15"/>
        <v>0.3765165248919401</v>
      </c>
      <c r="J231" s="3">
        <f t="shared" si="16"/>
        <v>-0.28449502133713067</v>
      </c>
      <c r="K231" s="3">
        <f t="shared" si="17"/>
        <v>-1.573226010764784</v>
      </c>
      <c r="L231" s="3">
        <f t="shared" si="18"/>
        <v>0.40507938795108395</v>
      </c>
      <c r="M231" s="3">
        <f t="shared" si="19"/>
        <v>0.43950775131852093</v>
      </c>
    </row>
    <row r="232" spans="1:13" x14ac:dyDescent="0.15">
      <c r="A232" s="5">
        <v>43858</v>
      </c>
      <c r="B232" s="6">
        <v>144.88999999999999</v>
      </c>
      <c r="C232" s="6">
        <v>3276.2434398222117</v>
      </c>
      <c r="D232" s="6">
        <v>768.35751404329937</v>
      </c>
      <c r="E232" s="4">
        <v>126.03</v>
      </c>
      <c r="F232" s="9">
        <v>69.709999999999994</v>
      </c>
      <c r="H232" s="1">
        <v>43858</v>
      </c>
      <c r="I232" s="3">
        <f t="shared" si="15"/>
        <v>0.64601278132813167</v>
      </c>
      <c r="J232" s="3">
        <f t="shared" si="16"/>
        <v>-0.55634807417974408</v>
      </c>
      <c r="K232" s="3">
        <f t="shared" si="17"/>
        <v>1.0055170920182959</v>
      </c>
      <c r="L232" s="3">
        <f t="shared" si="18"/>
        <v>5.5545760966679174E-2</v>
      </c>
      <c r="M232" s="3">
        <f t="shared" si="19"/>
        <v>0.27050680245047615</v>
      </c>
    </row>
    <row r="233" spans="1:13" x14ac:dyDescent="0.15">
      <c r="A233" s="5">
        <v>43859</v>
      </c>
      <c r="B233" s="6">
        <v>143.19999999999999</v>
      </c>
      <c r="C233" s="6">
        <v>3273.4026027104387</v>
      </c>
      <c r="D233" s="6">
        <v>762.2009225258322</v>
      </c>
      <c r="E233" s="4">
        <v>125.06</v>
      </c>
      <c r="F233" s="9">
        <v>68.83</v>
      </c>
      <c r="H233" s="1">
        <v>43859</v>
      </c>
      <c r="I233" s="3">
        <f t="shared" si="15"/>
        <v>-1.1664020981434178</v>
      </c>
      <c r="J233" s="3">
        <f t="shared" si="16"/>
        <v>-1.2623726868454965</v>
      </c>
      <c r="K233" s="3">
        <f t="shared" si="17"/>
        <v>-8.6710196111896953E-2</v>
      </c>
      <c r="L233" s="3">
        <f t="shared" si="18"/>
        <v>-0.80126652045993185</v>
      </c>
      <c r="M233" s="3">
        <f t="shared" si="19"/>
        <v>-0.76965801793223743</v>
      </c>
    </row>
    <row r="234" spans="1:13" x14ac:dyDescent="0.15">
      <c r="A234" s="5">
        <v>43860</v>
      </c>
      <c r="B234" s="6">
        <v>144.63</v>
      </c>
      <c r="C234" s="6">
        <v>3283.6590434890768</v>
      </c>
      <c r="D234" s="6">
        <v>767.80050153244531</v>
      </c>
      <c r="E234" s="4">
        <v>125.95</v>
      </c>
      <c r="F234" s="9">
        <v>69.47</v>
      </c>
      <c r="H234" s="1">
        <v>43860</v>
      </c>
      <c r="I234" s="3">
        <f t="shared" si="15"/>
        <v>0.99860335195531214</v>
      </c>
      <c r="J234" s="3">
        <f t="shared" si="16"/>
        <v>0.92982711027168474</v>
      </c>
      <c r="K234" s="3">
        <f t="shared" si="17"/>
        <v>0.31332659081243336</v>
      </c>
      <c r="L234" s="3">
        <f t="shared" si="18"/>
        <v>0.73465917465133135</v>
      </c>
      <c r="M234" s="3">
        <f t="shared" si="19"/>
        <v>0.7116584039660967</v>
      </c>
    </row>
    <row r="235" spans="1:13" x14ac:dyDescent="0.15">
      <c r="A235" s="5">
        <v>43861</v>
      </c>
      <c r="B235" s="6">
        <v>143.24</v>
      </c>
      <c r="C235" s="6">
        <v>3225.5163164640862</v>
      </c>
      <c r="D235" s="6">
        <v>768.52715107984716</v>
      </c>
      <c r="E235" s="4">
        <v>124.62</v>
      </c>
      <c r="F235" s="9">
        <v>73.78</v>
      </c>
      <c r="H235" s="1">
        <v>43861</v>
      </c>
      <c r="I235" s="3">
        <f t="shared" si="15"/>
        <v>-0.96107308303947059</v>
      </c>
      <c r="J235" s="3">
        <f t="shared" si="16"/>
        <v>6.2041168849863286</v>
      </c>
      <c r="K235" s="3">
        <f t="shared" si="17"/>
        <v>-1.7706688256893615</v>
      </c>
      <c r="L235" s="3">
        <f t="shared" si="18"/>
        <v>9.4640410621188165E-2</v>
      </c>
      <c r="M235" s="3">
        <f t="shared" si="19"/>
        <v>-1.0559745930924955</v>
      </c>
    </row>
    <row r="236" spans="1:13" x14ac:dyDescent="0.15">
      <c r="A236" s="5">
        <v>43864</v>
      </c>
      <c r="B236" s="6">
        <v>143.78</v>
      </c>
      <c r="C236" s="6">
        <v>3248.924997360969</v>
      </c>
      <c r="D236" s="6">
        <v>772.57187900532415</v>
      </c>
      <c r="E236" s="4">
        <v>125.11</v>
      </c>
      <c r="F236" s="9">
        <v>74.930000000000007</v>
      </c>
      <c r="H236" s="1">
        <v>43864</v>
      </c>
      <c r="I236" s="3">
        <f t="shared" si="15"/>
        <v>0.37698966769058367</v>
      </c>
      <c r="J236" s="3">
        <f t="shared" si="16"/>
        <v>1.5586879913255702</v>
      </c>
      <c r="K236" s="3">
        <f t="shared" si="17"/>
        <v>0.72573438172974691</v>
      </c>
      <c r="L236" s="3">
        <f t="shared" si="18"/>
        <v>0.52629603518806056</v>
      </c>
      <c r="M236" s="3">
        <f t="shared" si="19"/>
        <v>0.39319531375380751</v>
      </c>
    </row>
    <row r="237" spans="1:13" x14ac:dyDescent="0.15">
      <c r="A237" s="5">
        <v>43865</v>
      </c>
      <c r="B237" s="6">
        <v>143.38</v>
      </c>
      <c r="C237" s="6">
        <v>3297.5882162895978</v>
      </c>
      <c r="D237" s="6">
        <v>776.77711810158132</v>
      </c>
      <c r="E237" s="4">
        <v>125.66</v>
      </c>
      <c r="F237" s="9">
        <v>75.400000000000006</v>
      </c>
      <c r="H237" s="1">
        <v>43865</v>
      </c>
      <c r="I237" s="3">
        <f t="shared" si="15"/>
        <v>-0.27820280984838341</v>
      </c>
      <c r="J237" s="3">
        <f t="shared" si="16"/>
        <v>0.62725210196182946</v>
      </c>
      <c r="K237" s="3">
        <f t="shared" si="17"/>
        <v>1.4978252489102355</v>
      </c>
      <c r="L237" s="3">
        <f t="shared" si="18"/>
        <v>0.54431687335958467</v>
      </c>
      <c r="M237" s="3">
        <f t="shared" si="19"/>
        <v>0.4396131404364137</v>
      </c>
    </row>
    <row r="238" spans="1:13" x14ac:dyDescent="0.15">
      <c r="A238" s="5">
        <v>43866</v>
      </c>
      <c r="B238" s="6">
        <v>145.07</v>
      </c>
      <c r="C238" s="6">
        <v>3334.6942869918003</v>
      </c>
      <c r="D238" s="6">
        <v>783.15793953450668</v>
      </c>
      <c r="E238" s="4">
        <v>126.81</v>
      </c>
      <c r="F238" s="9">
        <v>75.73</v>
      </c>
      <c r="H238" s="1">
        <v>43866</v>
      </c>
      <c r="I238" s="3">
        <f t="shared" si="15"/>
        <v>1.1786860092063034</v>
      </c>
      <c r="J238" s="3">
        <f t="shared" si="16"/>
        <v>0.43766578249336641</v>
      </c>
      <c r="K238" s="3">
        <f t="shared" si="17"/>
        <v>1.1252487657162282</v>
      </c>
      <c r="L238" s="3">
        <f t="shared" si="18"/>
        <v>0.82144817145488069</v>
      </c>
      <c r="M238" s="3">
        <f t="shared" si="19"/>
        <v>0.91516791341716197</v>
      </c>
    </row>
    <row r="239" spans="1:13" x14ac:dyDescent="0.15">
      <c r="A239" s="5">
        <v>43867</v>
      </c>
      <c r="B239" s="6">
        <v>144.53</v>
      </c>
      <c r="C239" s="6">
        <v>3345.7808623719498</v>
      </c>
      <c r="D239" s="6">
        <v>784.87047484640266</v>
      </c>
      <c r="E239" s="4">
        <v>127.14</v>
      </c>
      <c r="F239" s="9">
        <v>76.31</v>
      </c>
      <c r="H239" s="1">
        <v>43867</v>
      </c>
      <c r="I239" s="3">
        <f t="shared" si="15"/>
        <v>-0.37223409388570489</v>
      </c>
      <c r="J239" s="3">
        <f t="shared" si="16"/>
        <v>0.7658787798758725</v>
      </c>
      <c r="K239" s="3">
        <f t="shared" si="17"/>
        <v>0.33246152198709056</v>
      </c>
      <c r="L239" s="3">
        <f t="shared" si="18"/>
        <v>0.21867049102686403</v>
      </c>
      <c r="M239" s="3">
        <f t="shared" si="19"/>
        <v>0.26023184291459528</v>
      </c>
    </row>
    <row r="240" spans="1:13" x14ac:dyDescent="0.15">
      <c r="A240" s="5">
        <v>43868</v>
      </c>
      <c r="B240" s="6">
        <v>144.82</v>
      </c>
      <c r="C240" s="6">
        <v>3327.7068678737205</v>
      </c>
      <c r="D240" s="6">
        <v>780.68948262805372</v>
      </c>
      <c r="E240" s="4">
        <v>126.08</v>
      </c>
      <c r="F240" s="9">
        <v>76.03</v>
      </c>
      <c r="H240" s="1">
        <v>43868</v>
      </c>
      <c r="I240" s="3">
        <f t="shared" si="15"/>
        <v>0.20065038400331561</v>
      </c>
      <c r="J240" s="3">
        <f t="shared" si="16"/>
        <v>-0.36692438736731903</v>
      </c>
      <c r="K240" s="3">
        <f t="shared" si="17"/>
        <v>-0.54020257876111788</v>
      </c>
      <c r="L240" s="3">
        <f t="shared" si="18"/>
        <v>-0.53269836901014067</v>
      </c>
      <c r="M240" s="3">
        <f t="shared" si="19"/>
        <v>-0.83372660059776793</v>
      </c>
    </row>
    <row r="241" spans="1:13" x14ac:dyDescent="0.15">
      <c r="A241" s="5">
        <v>43871</v>
      </c>
      <c r="B241" s="6">
        <v>146.21</v>
      </c>
      <c r="C241" s="6">
        <v>3352.0939509405812</v>
      </c>
      <c r="D241" s="6">
        <v>784.47624364250839</v>
      </c>
      <c r="E241" s="4">
        <v>126.17</v>
      </c>
      <c r="F241" s="9">
        <v>77.349999999999994</v>
      </c>
      <c r="H241" s="1">
        <v>43871</v>
      </c>
      <c r="I241" s="3">
        <f t="shared" si="15"/>
        <v>0.95981218063804374</v>
      </c>
      <c r="J241" s="3">
        <f t="shared" si="16"/>
        <v>1.7361567802183258</v>
      </c>
      <c r="K241" s="3">
        <f t="shared" si="17"/>
        <v>0.73284949772162766</v>
      </c>
      <c r="L241" s="3">
        <f t="shared" si="18"/>
        <v>0.48505341735964014</v>
      </c>
      <c r="M241" s="3">
        <f t="shared" si="19"/>
        <v>7.1383248730967172E-2</v>
      </c>
    </row>
    <row r="242" spans="1:13" x14ac:dyDescent="0.15">
      <c r="A242" s="5">
        <v>43872</v>
      </c>
      <c r="B242" s="6">
        <v>145.25</v>
      </c>
      <c r="C242" s="6">
        <v>3357.7472605343942</v>
      </c>
      <c r="D242" s="6">
        <v>772.87960782812183</v>
      </c>
      <c r="E242" s="4">
        <v>124.16</v>
      </c>
      <c r="F242" s="9">
        <v>76.11</v>
      </c>
      <c r="H242" s="1">
        <v>43872</v>
      </c>
      <c r="I242" s="3">
        <f t="shared" si="15"/>
        <v>-0.65658983653649405</v>
      </c>
      <c r="J242" s="3">
        <f t="shared" si="16"/>
        <v>-1.6031027795733614</v>
      </c>
      <c r="K242" s="3">
        <f t="shared" si="17"/>
        <v>0.16865009383841109</v>
      </c>
      <c r="L242" s="3">
        <f t="shared" si="18"/>
        <v>-1.4782647541422851</v>
      </c>
      <c r="M242" s="3">
        <f t="shared" si="19"/>
        <v>-1.5930886898628875</v>
      </c>
    </row>
    <row r="243" spans="1:13" x14ac:dyDescent="0.15">
      <c r="A243" s="5">
        <v>43873</v>
      </c>
      <c r="B243" s="6">
        <v>144.29</v>
      </c>
      <c r="C243" s="6">
        <v>3379.4521901708717</v>
      </c>
      <c r="D243" s="6">
        <v>769.40846866635536</v>
      </c>
      <c r="E243" s="4">
        <v>123.45</v>
      </c>
      <c r="F243" s="9">
        <v>75.95</v>
      </c>
      <c r="H243" s="1">
        <v>43873</v>
      </c>
      <c r="I243" s="3">
        <f t="shared" si="15"/>
        <v>-0.66092943201377485</v>
      </c>
      <c r="J243" s="3">
        <f t="shared" si="16"/>
        <v>-0.21022204703717856</v>
      </c>
      <c r="K243" s="3">
        <f t="shared" si="17"/>
        <v>0.64641344188076788</v>
      </c>
      <c r="L243" s="3">
        <f t="shared" si="18"/>
        <v>-0.44911770560498582</v>
      </c>
      <c r="M243" s="3">
        <f t="shared" si="19"/>
        <v>-0.57184278350514961</v>
      </c>
    </row>
    <row r="244" spans="1:13" x14ac:dyDescent="0.15">
      <c r="A244" s="5">
        <v>43874</v>
      </c>
      <c r="B244" s="6">
        <v>144.74</v>
      </c>
      <c r="C244" s="6">
        <v>3373.9373709163533</v>
      </c>
      <c r="D244" s="6">
        <v>776.67161264963147</v>
      </c>
      <c r="E244" s="4">
        <v>124.96</v>
      </c>
      <c r="F244" s="9">
        <v>76.37</v>
      </c>
      <c r="H244" s="1">
        <v>43874</v>
      </c>
      <c r="I244" s="3">
        <f t="shared" si="15"/>
        <v>0.31187192459631097</v>
      </c>
      <c r="J244" s="3">
        <f t="shared" si="16"/>
        <v>0.55299539170507139</v>
      </c>
      <c r="K244" s="3">
        <f t="shared" si="17"/>
        <v>-0.16318678129426661</v>
      </c>
      <c r="L244" s="3">
        <f t="shared" si="18"/>
        <v>0.9439906472391173</v>
      </c>
      <c r="M244" s="3">
        <f t="shared" si="19"/>
        <v>1.2231672742000737</v>
      </c>
    </row>
    <row r="245" spans="1:13" x14ac:dyDescent="0.15">
      <c r="A245" s="5">
        <v>43875</v>
      </c>
      <c r="B245" s="6">
        <v>145.56</v>
      </c>
      <c r="C245" s="6">
        <v>3380.1573755321256</v>
      </c>
      <c r="D245" s="6">
        <v>782.80523701293453</v>
      </c>
      <c r="E245" s="4">
        <v>126.14</v>
      </c>
      <c r="F245" s="9">
        <v>76.69</v>
      </c>
      <c r="H245" s="1">
        <v>43875</v>
      </c>
      <c r="I245" s="3">
        <f t="shared" si="15"/>
        <v>0.56653309382340278</v>
      </c>
      <c r="J245" s="3">
        <f t="shared" si="16"/>
        <v>0.41901270132249985</v>
      </c>
      <c r="K245" s="3">
        <f t="shared" si="17"/>
        <v>0.18435447763166182</v>
      </c>
      <c r="L245" s="3">
        <f t="shared" si="18"/>
        <v>0.78973201329942622</v>
      </c>
      <c r="M245" s="3">
        <f t="shared" si="19"/>
        <v>0.94430217669654837</v>
      </c>
    </row>
    <row r="246" spans="1:13" x14ac:dyDescent="0.15">
      <c r="A246" s="5">
        <v>43879</v>
      </c>
      <c r="B246" s="6">
        <v>143.84</v>
      </c>
      <c r="C246" s="6">
        <v>3370.2864814712466</v>
      </c>
      <c r="D246" s="6">
        <v>775.541030543587</v>
      </c>
      <c r="E246" s="4">
        <v>124.87</v>
      </c>
      <c r="F246" s="9">
        <v>76.069999999999993</v>
      </c>
      <c r="H246" s="1">
        <v>43879</v>
      </c>
      <c r="I246" s="3">
        <f t="shared" si="15"/>
        <v>-1.1816433086012632</v>
      </c>
      <c r="J246" s="3">
        <f t="shared" si="16"/>
        <v>-0.80844960229495966</v>
      </c>
      <c r="K246" s="3">
        <f t="shared" si="17"/>
        <v>-0.29202468891925615</v>
      </c>
      <c r="L246" s="3">
        <f t="shared" si="18"/>
        <v>-0.92797111284878886</v>
      </c>
      <c r="M246" s="3">
        <f t="shared" si="19"/>
        <v>-1.0068178214682069</v>
      </c>
    </row>
    <row r="247" spans="1:13" x14ac:dyDescent="0.15">
      <c r="A247" s="5">
        <v>43880</v>
      </c>
      <c r="B247" s="6">
        <v>143.77000000000001</v>
      </c>
      <c r="C247" s="6">
        <v>3386.1527183522226</v>
      </c>
      <c r="D247" s="6">
        <v>776.96609237462826</v>
      </c>
      <c r="E247" s="4">
        <v>125.44</v>
      </c>
      <c r="F247" s="9">
        <v>75.540000000000006</v>
      </c>
      <c r="H247" s="1">
        <v>43880</v>
      </c>
      <c r="I247" s="3">
        <f t="shared" si="15"/>
        <v>-4.8665183537258884E-2</v>
      </c>
      <c r="J247" s="3">
        <f t="shared" si="16"/>
        <v>-0.69672669909292362</v>
      </c>
      <c r="K247" s="3">
        <f t="shared" si="17"/>
        <v>0.47076819635967015</v>
      </c>
      <c r="L247" s="3">
        <f t="shared" si="18"/>
        <v>0.18375066887723751</v>
      </c>
      <c r="M247" s="3">
        <f t="shared" si="19"/>
        <v>0.45647473372306652</v>
      </c>
    </row>
    <row r="248" spans="1:13" x14ac:dyDescent="0.15">
      <c r="A248" s="5">
        <v>43881</v>
      </c>
      <c r="B248" s="6">
        <v>142.16999999999999</v>
      </c>
      <c r="C248" s="6">
        <v>3373.2315060711771</v>
      </c>
      <c r="D248" s="6">
        <v>780.32434278717653</v>
      </c>
      <c r="E248" s="4">
        <v>126.58</v>
      </c>
      <c r="F248" s="9">
        <v>75.16</v>
      </c>
      <c r="H248" s="1">
        <v>43881</v>
      </c>
      <c r="I248" s="3">
        <f t="shared" si="15"/>
        <v>-1.1128886415803176</v>
      </c>
      <c r="J248" s="3">
        <f t="shared" si="16"/>
        <v>-0.5030447445062346</v>
      </c>
      <c r="K248" s="3">
        <f t="shared" si="17"/>
        <v>-0.38158976737863076</v>
      </c>
      <c r="L248" s="3">
        <f t="shared" si="18"/>
        <v>0.43222612228604584</v>
      </c>
      <c r="M248" s="3">
        <f t="shared" si="19"/>
        <v>0.9088010204081638</v>
      </c>
    </row>
    <row r="249" spans="1:13" x14ac:dyDescent="0.15">
      <c r="A249" s="5">
        <v>43882</v>
      </c>
      <c r="B249" s="6">
        <v>141.35</v>
      </c>
      <c r="C249" s="6">
        <v>3337.7470178774652</v>
      </c>
      <c r="D249" s="6">
        <v>782.16132436585588</v>
      </c>
      <c r="E249" s="4">
        <v>126.7</v>
      </c>
      <c r="F249" s="9">
        <v>76.27</v>
      </c>
      <c r="H249" s="1">
        <v>43882</v>
      </c>
      <c r="I249" s="3">
        <f t="shared" si="15"/>
        <v>-0.57677428430751443</v>
      </c>
      <c r="J249" s="3">
        <f t="shared" si="16"/>
        <v>1.476849387972325</v>
      </c>
      <c r="K249" s="3">
        <f t="shared" si="17"/>
        <v>-1.051943459256995</v>
      </c>
      <c r="L249" s="3">
        <f t="shared" si="18"/>
        <v>0.2354125685888484</v>
      </c>
      <c r="M249" s="3">
        <f t="shared" si="19"/>
        <v>9.4801706430719349E-2</v>
      </c>
    </row>
    <row r="250" spans="1:13" x14ac:dyDescent="0.15">
      <c r="A250" s="5">
        <v>43885</v>
      </c>
      <c r="B250" s="6">
        <v>140.12</v>
      </c>
      <c r="C250" s="6">
        <v>3225.8864022371604</v>
      </c>
      <c r="D250" s="6">
        <v>764.76622044641897</v>
      </c>
      <c r="E250" s="4">
        <v>123.3</v>
      </c>
      <c r="F250" s="9">
        <v>74.42</v>
      </c>
      <c r="H250" s="1">
        <v>43885</v>
      </c>
      <c r="I250" s="3">
        <f t="shared" si="15"/>
        <v>-0.870180403254326</v>
      </c>
      <c r="J250" s="3">
        <f t="shared" si="16"/>
        <v>-2.4255932870066794</v>
      </c>
      <c r="K250" s="3">
        <f t="shared" si="17"/>
        <v>-3.3513808878013474</v>
      </c>
      <c r="L250" s="3">
        <f t="shared" si="18"/>
        <v>-2.2239790408379161</v>
      </c>
      <c r="M250" s="3">
        <f t="shared" si="19"/>
        <v>-2.6835043409629091</v>
      </c>
    </row>
    <row r="251" spans="1:13" x14ac:dyDescent="0.15">
      <c r="A251" s="5">
        <v>43886</v>
      </c>
      <c r="B251" s="6">
        <v>138.97999999999999</v>
      </c>
      <c r="C251" s="6">
        <v>3128.2065811070738</v>
      </c>
      <c r="D251" s="6">
        <v>755.2872804046375</v>
      </c>
      <c r="E251" s="4">
        <v>121.43</v>
      </c>
      <c r="F251" s="9">
        <v>73.8</v>
      </c>
      <c r="H251" s="1">
        <v>43886</v>
      </c>
      <c r="I251" s="3">
        <f t="shared" si="15"/>
        <v>-0.81358835284043307</v>
      </c>
      <c r="J251" s="3">
        <f t="shared" si="16"/>
        <v>-0.83310937919914618</v>
      </c>
      <c r="K251" s="3">
        <f t="shared" si="17"/>
        <v>-3.0279994069954035</v>
      </c>
      <c r="L251" s="3">
        <f t="shared" si="18"/>
        <v>-1.2394559001636218</v>
      </c>
      <c r="M251" s="3">
        <f t="shared" si="19"/>
        <v>-1.5166261151662535</v>
      </c>
    </row>
    <row r="252" spans="1:13" x14ac:dyDescent="0.15">
      <c r="A252" s="5">
        <v>43887</v>
      </c>
      <c r="B252" s="6">
        <v>138.26</v>
      </c>
      <c r="C252" s="6">
        <v>3116.3898493057295</v>
      </c>
      <c r="D252" s="6">
        <v>748.24234518793207</v>
      </c>
      <c r="E252" s="4">
        <v>120.16</v>
      </c>
      <c r="F252" s="9">
        <v>72.92</v>
      </c>
      <c r="H252" s="1">
        <v>43887</v>
      </c>
      <c r="I252" s="3">
        <f t="shared" si="15"/>
        <v>-0.51806015253993298</v>
      </c>
      <c r="J252" s="3">
        <f t="shared" si="16"/>
        <v>-1.192411924119235</v>
      </c>
      <c r="K252" s="3">
        <f t="shared" si="17"/>
        <v>-0.37774780836764166</v>
      </c>
      <c r="L252" s="3">
        <f t="shared" si="18"/>
        <v>-0.93274908759633457</v>
      </c>
      <c r="M252" s="3">
        <f t="shared" si="19"/>
        <v>-1.045870048587672</v>
      </c>
    </row>
    <row r="253" spans="1:13" x14ac:dyDescent="0.15">
      <c r="A253" s="5">
        <v>43888</v>
      </c>
      <c r="B253" s="6">
        <v>134.01</v>
      </c>
      <c r="C253" s="6">
        <v>2978.7578316585978</v>
      </c>
      <c r="D253" s="6">
        <v>713.26176032370438</v>
      </c>
      <c r="E253" s="4">
        <v>113.5</v>
      </c>
      <c r="F253" s="9">
        <v>70.150000000000006</v>
      </c>
      <c r="H253" s="1">
        <v>43888</v>
      </c>
      <c r="I253" s="3">
        <f t="shared" si="15"/>
        <v>-3.0739187038912199</v>
      </c>
      <c r="J253" s="3">
        <f t="shared" si="16"/>
        <v>-3.798683488754794</v>
      </c>
      <c r="K253" s="3">
        <f t="shared" si="17"/>
        <v>-4.4163928231826795</v>
      </c>
      <c r="L253" s="3">
        <f t="shared" si="18"/>
        <v>-4.6750341101641082</v>
      </c>
      <c r="M253" s="3">
        <f t="shared" si="19"/>
        <v>-5.5426098535286261</v>
      </c>
    </row>
    <row r="254" spans="1:13" x14ac:dyDescent="0.15">
      <c r="A254" s="5">
        <v>43889</v>
      </c>
      <c r="B254" s="6">
        <v>131.19</v>
      </c>
      <c r="C254" s="6">
        <v>2954.223684368626</v>
      </c>
      <c r="D254" s="6">
        <v>703.94398566596283</v>
      </c>
      <c r="E254" s="4">
        <v>113.23</v>
      </c>
      <c r="F254" s="9">
        <v>67.569999999999993</v>
      </c>
      <c r="H254" s="1">
        <v>43889</v>
      </c>
      <c r="I254" s="3">
        <f t="shared" si="15"/>
        <v>-2.1043205730915551</v>
      </c>
      <c r="J254" s="3">
        <f t="shared" si="16"/>
        <v>-3.6778332145402883</v>
      </c>
      <c r="K254" s="3">
        <f t="shared" si="17"/>
        <v>-0.82363685389996777</v>
      </c>
      <c r="L254" s="3">
        <f t="shared" si="18"/>
        <v>-1.3063611672540532</v>
      </c>
      <c r="M254" s="3">
        <f t="shared" si="19"/>
        <v>-0.23788546255506257</v>
      </c>
    </row>
    <row r="255" spans="1:13" x14ac:dyDescent="0.15">
      <c r="A255" s="1"/>
      <c r="B255" s="2"/>
      <c r="C255" s="2"/>
      <c r="D255" s="2"/>
      <c r="E255" s="3"/>
      <c r="F255" s="2"/>
      <c r="H255" s="1"/>
      <c r="I255" s="3"/>
      <c r="J255" s="3"/>
      <c r="K255" s="3"/>
      <c r="L255" s="3"/>
    </row>
    <row r="256" spans="1:13" x14ac:dyDescent="0.15">
      <c r="A256" s="1"/>
      <c r="B256" s="2"/>
      <c r="C256" s="2"/>
      <c r="D256" s="2"/>
      <c r="E256" s="3"/>
      <c r="F256" s="2"/>
      <c r="H256" s="1" t="s">
        <v>8</v>
      </c>
      <c r="I256" s="3">
        <f>AVERAGE(I4:I254)</f>
        <v>5.7150590578878821E-2</v>
      </c>
      <c r="J256" s="3">
        <f>AVERAGE(J4:J254)</f>
        <v>1.6145960905887682E-2</v>
      </c>
      <c r="K256" s="3">
        <f>AVERAGE(K4:K254)</f>
        <v>2.4460797927727984E-2</v>
      </c>
      <c r="L256" s="3">
        <f>AVERAGE(L4:L254)</f>
        <v>4.9189509982583299E-2</v>
      </c>
      <c r="M256" s="3">
        <f>AVERAGE(M4:M254)</f>
        <v>6.1454453326883436E-2</v>
      </c>
    </row>
    <row r="257" spans="1:13" x14ac:dyDescent="0.15">
      <c r="A257" s="1"/>
      <c r="B257" s="2"/>
      <c r="C257" s="2"/>
      <c r="D257" s="2"/>
      <c r="E257" s="3"/>
      <c r="F257" s="2"/>
      <c r="H257" s="1" t="s">
        <v>5</v>
      </c>
      <c r="I257" s="3">
        <f>STDEV(I4:I254)</f>
        <v>1.1827642661823272</v>
      </c>
      <c r="J257" s="3">
        <f>STDEV(J4:J254)</f>
        <v>1.1672071138923563</v>
      </c>
      <c r="K257" s="3">
        <f>STDEV(K4:K254)</f>
        <v>0.8493576798410406</v>
      </c>
      <c r="L257" s="3">
        <f>STDEV(L4:L254)</f>
        <v>0.96132379524467459</v>
      </c>
      <c r="M257" s="3">
        <f>STDEV(M4:M254)</f>
        <v>1.0641631282425132</v>
      </c>
    </row>
    <row r="258" spans="1:13" x14ac:dyDescent="0.15">
      <c r="A258" s="1"/>
      <c r="B258" s="2"/>
      <c r="C258" s="2"/>
      <c r="D258" s="2"/>
      <c r="E258" s="3"/>
      <c r="F258" s="2"/>
      <c r="H258" s="1"/>
      <c r="I258" s="3"/>
      <c r="J258" s="3"/>
      <c r="K258" s="3"/>
      <c r="L258" s="3"/>
    </row>
    <row r="259" spans="1:13" x14ac:dyDescent="0.15">
      <c r="A259" s="1"/>
      <c r="B259" s="2" t="s">
        <v>4</v>
      </c>
      <c r="C259" s="2" t="s">
        <v>5</v>
      </c>
      <c r="D259" s="2"/>
      <c r="E259" s="3"/>
      <c r="F259" s="2"/>
      <c r="H259" s="1"/>
      <c r="I259" s="3"/>
      <c r="J259" s="3"/>
      <c r="K259" s="3"/>
      <c r="L259" s="3"/>
    </row>
    <row r="260" spans="1:13" x14ac:dyDescent="0.15">
      <c r="A260" s="2" t="s">
        <v>9</v>
      </c>
      <c r="B260" s="2">
        <v>5.71505905788788E-2</v>
      </c>
      <c r="C260" s="2">
        <v>1.1827642661823272</v>
      </c>
      <c r="D260" s="2"/>
      <c r="E260" s="3"/>
      <c r="F260" s="2"/>
      <c r="H260" s="1"/>
      <c r="I260" s="3"/>
      <c r="J260" s="3"/>
      <c r="K260" s="3"/>
      <c r="L260" s="3"/>
    </row>
    <row r="261" spans="1:13" x14ac:dyDescent="0.15">
      <c r="A261" s="2" t="s">
        <v>11</v>
      </c>
      <c r="B261" s="2">
        <v>2.4460797927727984E-2</v>
      </c>
      <c r="C261" s="2">
        <v>0.8493576798410406</v>
      </c>
      <c r="D261" s="2"/>
      <c r="E261" s="3"/>
      <c r="F261" s="2"/>
      <c r="H261" s="1"/>
      <c r="I261" s="3"/>
      <c r="J261" s="3"/>
      <c r="K261" s="3"/>
      <c r="L261" s="3"/>
    </row>
    <row r="262" spans="1:13" x14ac:dyDescent="0.15">
      <c r="A262" s="2" t="s">
        <v>10</v>
      </c>
      <c r="B262" s="2">
        <v>4.9189509982583299E-2</v>
      </c>
      <c r="C262" s="2">
        <v>0.96132379524467459</v>
      </c>
      <c r="D262" s="2"/>
      <c r="E262" s="3"/>
      <c r="F262" s="2"/>
      <c r="H262" s="1"/>
      <c r="I262" s="3"/>
      <c r="J262" s="3"/>
      <c r="K262" s="3"/>
      <c r="L262" s="3"/>
    </row>
    <row r="263" spans="1:13" x14ac:dyDescent="0.15">
      <c r="A263" s="1" t="s">
        <v>14</v>
      </c>
      <c r="B263" s="2">
        <f>J256</f>
        <v>1.6145960905887682E-2</v>
      </c>
      <c r="C263" s="2">
        <f>J257</f>
        <v>1.1672071138923563</v>
      </c>
      <c r="D263" s="2"/>
      <c r="E263" s="3"/>
      <c r="F263" s="2"/>
      <c r="H263" s="1"/>
      <c r="I263" s="3"/>
      <c r="J263" s="3"/>
      <c r="K263" s="3"/>
      <c r="L263" s="3"/>
    </row>
    <row r="264" spans="1:13" x14ac:dyDescent="0.15">
      <c r="A264" s="1" t="s">
        <v>16</v>
      </c>
      <c r="B264" s="2">
        <v>0.06</v>
      </c>
      <c r="C264" s="2">
        <v>1.06</v>
      </c>
      <c r="D264" s="2"/>
      <c r="E264" s="3"/>
      <c r="F264" s="2"/>
      <c r="H264" s="1"/>
      <c r="I264" s="3"/>
      <c r="J264" s="3"/>
      <c r="K264" s="3"/>
      <c r="L264" s="3"/>
    </row>
    <row r="265" spans="1:13" x14ac:dyDescent="0.15">
      <c r="A265" s="1"/>
      <c r="B265" s="2"/>
      <c r="C265" s="2"/>
      <c r="D265" s="2"/>
      <c r="E265" s="3"/>
      <c r="F265" s="2"/>
      <c r="H265" s="1"/>
      <c r="I265" s="3"/>
      <c r="J265" s="3"/>
      <c r="K265" s="3"/>
      <c r="L265" s="3"/>
    </row>
    <row r="266" spans="1:13" x14ac:dyDescent="0.15">
      <c r="A266" s="1"/>
      <c r="B266" s="2"/>
      <c r="C266" s="2"/>
      <c r="D266" s="2"/>
      <c r="E266" s="3"/>
      <c r="F266" s="2"/>
      <c r="H266" s="1"/>
      <c r="I266" s="3"/>
      <c r="J266" s="3"/>
      <c r="K266" s="3"/>
      <c r="L266" s="3"/>
    </row>
    <row r="267" spans="1:13" x14ac:dyDescent="0.15">
      <c r="A267" s="1"/>
      <c r="B267" s="2"/>
      <c r="C267" s="2"/>
      <c r="D267" s="2"/>
      <c r="E267" s="3"/>
      <c r="F267" s="2"/>
      <c r="H267" s="1"/>
      <c r="I267" s="3"/>
      <c r="J267" s="3"/>
      <c r="K267" s="3"/>
      <c r="L267" s="3"/>
    </row>
    <row r="268" spans="1:13" x14ac:dyDescent="0.15">
      <c r="A268" s="1"/>
      <c r="B268" s="2"/>
      <c r="C268" s="2"/>
      <c r="D268" s="2"/>
      <c r="E268" s="3"/>
      <c r="F268" s="2"/>
      <c r="H268" s="1"/>
      <c r="I268" s="3"/>
      <c r="J268" s="3"/>
      <c r="K268" s="3"/>
      <c r="L268" s="3"/>
    </row>
    <row r="269" spans="1:13" x14ac:dyDescent="0.15">
      <c r="A269" s="1"/>
      <c r="B269" s="2"/>
      <c r="C269" s="2"/>
      <c r="D269" s="2"/>
      <c r="E269" s="3"/>
      <c r="F269" s="2"/>
      <c r="H269" s="1"/>
      <c r="I269" s="3"/>
      <c r="J269" s="3"/>
      <c r="K269" s="3"/>
      <c r="L269" s="3"/>
    </row>
    <row r="270" spans="1:13" x14ac:dyDescent="0.15">
      <c r="A270" s="1"/>
      <c r="B270" s="2"/>
      <c r="C270" s="2"/>
      <c r="D270" s="2"/>
      <c r="E270" s="3"/>
      <c r="F270" s="2"/>
      <c r="H270" s="1"/>
      <c r="I270" s="3"/>
      <c r="J270" s="3"/>
      <c r="K270" s="3"/>
      <c r="L270" s="3"/>
    </row>
    <row r="271" spans="1:13" x14ac:dyDescent="0.15">
      <c r="A271" s="1"/>
      <c r="B271" s="2"/>
      <c r="C271" s="2"/>
      <c r="D271" s="2"/>
      <c r="E271" s="3"/>
      <c r="F271" s="2"/>
      <c r="H271" s="1"/>
      <c r="I271" s="3"/>
      <c r="J271" s="3"/>
      <c r="K271" s="3"/>
      <c r="L271" s="3"/>
    </row>
    <row r="272" spans="1:13" x14ac:dyDescent="0.15">
      <c r="A272" s="1"/>
      <c r="B272" s="2"/>
      <c r="C272" s="2"/>
      <c r="D272" s="2"/>
      <c r="E272" s="3"/>
      <c r="F272" s="2"/>
      <c r="H272" s="1"/>
      <c r="I272" s="3"/>
      <c r="J272" s="3"/>
      <c r="K272" s="3"/>
      <c r="L272" s="3"/>
    </row>
    <row r="273" spans="1:12" x14ac:dyDescent="0.15">
      <c r="A273" s="1"/>
      <c r="B273" s="2"/>
      <c r="C273" s="2"/>
      <c r="D273" s="2"/>
      <c r="E273" s="3"/>
      <c r="F273" s="2"/>
      <c r="H273" s="1"/>
      <c r="I273" s="3"/>
      <c r="J273" s="3"/>
      <c r="K273" s="3"/>
      <c r="L273" s="3"/>
    </row>
    <row r="274" spans="1:12" x14ac:dyDescent="0.15">
      <c r="A274" s="1"/>
      <c r="B274" s="2"/>
      <c r="C274" s="2"/>
      <c r="D274" s="2"/>
      <c r="E274" s="3"/>
      <c r="F274" s="2"/>
      <c r="H274" s="1"/>
      <c r="I274" s="3"/>
      <c r="J274" s="3"/>
      <c r="K274" s="3"/>
      <c r="L274" s="3"/>
    </row>
    <row r="275" spans="1:12" x14ac:dyDescent="0.15">
      <c r="A275" s="1"/>
      <c r="B275" s="2"/>
      <c r="C275" s="2"/>
      <c r="D275" s="2"/>
      <c r="E275" s="3"/>
      <c r="F275" s="2"/>
      <c r="H275" s="1"/>
      <c r="I275" s="3"/>
      <c r="J275" s="3"/>
      <c r="K275" s="3"/>
      <c r="L275" s="3"/>
    </row>
    <row r="276" spans="1:12" x14ac:dyDescent="0.15">
      <c r="A276" s="1"/>
      <c r="B276" s="2"/>
      <c r="C276" s="2"/>
      <c r="D276" s="2"/>
      <c r="E276" s="3"/>
      <c r="F276" s="2"/>
      <c r="H276" s="1"/>
      <c r="I276" s="3"/>
      <c r="J276" s="3"/>
      <c r="K276" s="3"/>
      <c r="L276" s="3"/>
    </row>
    <row r="277" spans="1:12" x14ac:dyDescent="0.15">
      <c r="A277" s="1"/>
      <c r="B277" s="2"/>
      <c r="C277" s="2"/>
      <c r="D277" s="2"/>
      <c r="E277" s="3"/>
      <c r="F277" s="2"/>
      <c r="H277" s="1"/>
      <c r="I277" s="3"/>
      <c r="J277" s="3"/>
      <c r="K277" s="3"/>
      <c r="L277" s="3"/>
    </row>
  </sheetData>
  <mergeCells count="2">
    <mergeCell ref="B1:D1"/>
    <mergeCell ref="I1:L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29"/>
  <sheetViews>
    <sheetView tabSelected="1" zoomScale="95" workbookViewId="0">
      <selection activeCell="C25" sqref="C4:C25"/>
    </sheetView>
  </sheetViews>
  <sheetFormatPr baseColWidth="10" defaultRowHeight="13" x14ac:dyDescent="0.15"/>
  <cols>
    <col min="1" max="1" width="12.83203125" customWidth="1"/>
    <col min="2" max="2" width="47.5" customWidth="1"/>
    <col min="3" max="3" width="31.5" customWidth="1"/>
    <col min="4" max="6" width="58.83203125" customWidth="1"/>
    <col min="8" max="8" width="15" customWidth="1"/>
    <col min="9" max="9" width="46.5" customWidth="1"/>
    <col min="10" max="10" width="36" customWidth="1"/>
    <col min="11" max="11" width="59.83203125" customWidth="1"/>
    <col min="12" max="12" width="44.5" bestFit="1" customWidth="1"/>
    <col min="13" max="13" width="50.83203125" bestFit="1" customWidth="1"/>
  </cols>
  <sheetData>
    <row r="1" spans="1:13" x14ac:dyDescent="0.15">
      <c r="A1" s="4"/>
      <c r="B1" s="14" t="s">
        <v>7</v>
      </c>
      <c r="C1" s="14"/>
      <c r="D1" s="14"/>
      <c r="E1" s="7"/>
      <c r="F1" s="10"/>
      <c r="I1" s="15" t="s">
        <v>12</v>
      </c>
      <c r="J1" s="15"/>
      <c r="K1" s="15"/>
    </row>
    <row r="2" spans="1:13" x14ac:dyDescent="0.15">
      <c r="A2" s="4" t="s">
        <v>0</v>
      </c>
      <c r="B2" s="4" t="s">
        <v>1</v>
      </c>
      <c r="C2" s="4" t="s">
        <v>2</v>
      </c>
      <c r="D2" s="4" t="s">
        <v>3</v>
      </c>
      <c r="E2" s="4" t="s">
        <v>13</v>
      </c>
      <c r="F2" s="4" t="s">
        <v>15</v>
      </c>
      <c r="H2" s="8" t="s">
        <v>0</v>
      </c>
      <c r="I2" s="8" t="s">
        <v>1</v>
      </c>
      <c r="J2" s="8" t="s">
        <v>2</v>
      </c>
      <c r="K2" s="8" t="s">
        <v>3</v>
      </c>
      <c r="L2" s="8" t="s">
        <v>13</v>
      </c>
      <c r="M2" t="s">
        <v>15</v>
      </c>
    </row>
    <row r="3" spans="1:13" x14ac:dyDescent="0.15">
      <c r="A3" s="13">
        <v>43892</v>
      </c>
      <c r="B3" s="4"/>
      <c r="C3" s="4"/>
      <c r="D3" s="4"/>
      <c r="E3" s="4"/>
      <c r="F3" s="4"/>
      <c r="H3" s="11">
        <v>43892</v>
      </c>
    </row>
    <row r="4" spans="1:13" x14ac:dyDescent="0.15">
      <c r="A4" s="13">
        <v>43893</v>
      </c>
      <c r="B4" s="9">
        <v>0.65698478561548312</v>
      </c>
      <c r="C4" s="4">
        <v>-2.81</v>
      </c>
      <c r="D4" s="4">
        <v>-1.1399999999999999</v>
      </c>
      <c r="E4" s="9">
        <v>0.05</v>
      </c>
      <c r="F4" s="9">
        <v>-1.1599999999999999</v>
      </c>
      <c r="H4" s="11">
        <v>43893</v>
      </c>
      <c r="I4" s="3">
        <f t="shared" ref="I4:L5" si="0">(1+(B3-B4))</f>
        <v>0.34301521438451688</v>
      </c>
      <c r="J4" s="3">
        <f t="shared" si="0"/>
        <v>3.81</v>
      </c>
      <c r="K4" s="3">
        <f t="shared" si="0"/>
        <v>2.1399999999999997</v>
      </c>
      <c r="L4" s="3">
        <f t="shared" si="0"/>
        <v>0.95</v>
      </c>
      <c r="M4" s="3">
        <f>1+(F3-F4)</f>
        <v>2.16</v>
      </c>
    </row>
    <row r="5" spans="1:13" x14ac:dyDescent="0.15">
      <c r="A5" s="13">
        <v>43894</v>
      </c>
      <c r="B5" s="9">
        <v>0.2061147372037179</v>
      </c>
      <c r="C5" s="4">
        <v>4.22</v>
      </c>
      <c r="D5" s="4">
        <v>5.15</v>
      </c>
      <c r="E5" s="9">
        <v>-0.47</v>
      </c>
      <c r="F5" s="9">
        <v>5.36</v>
      </c>
      <c r="H5" s="11">
        <v>43894</v>
      </c>
      <c r="I5" s="3">
        <f t="shared" si="0"/>
        <v>1.4508700484117654</v>
      </c>
      <c r="J5" s="3">
        <f t="shared" si="0"/>
        <v>-6.0299999999999994</v>
      </c>
      <c r="K5" s="3">
        <f t="shared" si="0"/>
        <v>-5.29</v>
      </c>
      <c r="L5" s="3">
        <f t="shared" si="0"/>
        <v>1.52</v>
      </c>
      <c r="M5" s="3">
        <f>1+(F4-F5)</f>
        <v>-5.5200000000000005</v>
      </c>
    </row>
    <row r="6" spans="1:13" x14ac:dyDescent="0.15">
      <c r="A6" s="13">
        <v>43895</v>
      </c>
      <c r="B6" s="9">
        <v>-0.47137470003429149</v>
      </c>
      <c r="C6" s="4">
        <v>-3.39</v>
      </c>
      <c r="D6" s="4">
        <v>-2.44</v>
      </c>
      <c r="E6" s="9">
        <v>-0.17</v>
      </c>
      <c r="F6" s="9">
        <v>-2.31</v>
      </c>
      <c r="H6" s="11">
        <v>43895</v>
      </c>
      <c r="I6" s="3">
        <f t="shared" ref="I6:I11" si="1">(1+(B5-B6))</f>
        <v>1.6774894372380094</v>
      </c>
      <c r="J6" s="3">
        <f t="shared" ref="J6:J25" si="2">(1+(C5-C6))</f>
        <v>8.61</v>
      </c>
      <c r="K6" s="3">
        <f t="shared" ref="K6:K25" si="3">(1+(D5-D6))</f>
        <v>8.59</v>
      </c>
      <c r="L6" s="3">
        <f t="shared" ref="L6:L25" si="4">(1+(E5-E6))</f>
        <v>0.70000000000000007</v>
      </c>
      <c r="M6" s="3">
        <f t="shared" ref="M6:M25" si="5">1+(F5-F6)</f>
        <v>8.67</v>
      </c>
    </row>
    <row r="7" spans="1:13" x14ac:dyDescent="0.15">
      <c r="A7" s="13">
        <v>43896</v>
      </c>
      <c r="B7" s="9">
        <v>-0.81804873848272519</v>
      </c>
      <c r="C7" s="4">
        <v>-1.71</v>
      </c>
      <c r="D7" s="4">
        <v>0.2</v>
      </c>
      <c r="E7" s="9">
        <v>-0.41</v>
      </c>
      <c r="F7" s="9">
        <v>0.02</v>
      </c>
      <c r="H7" s="11">
        <v>43896</v>
      </c>
      <c r="I7" s="3">
        <f t="shared" si="1"/>
        <v>1.3466740384484337</v>
      </c>
      <c r="J7" s="3">
        <f t="shared" si="2"/>
        <v>-0.68000000000000016</v>
      </c>
      <c r="K7" s="3">
        <f t="shared" si="3"/>
        <v>-1.6400000000000001</v>
      </c>
      <c r="L7" s="3">
        <f t="shared" si="4"/>
        <v>1.24</v>
      </c>
      <c r="M7" s="3">
        <f t="shared" si="5"/>
        <v>-1.33</v>
      </c>
    </row>
    <row r="8" spans="1:13" x14ac:dyDescent="0.15">
      <c r="A8" s="13">
        <v>43899</v>
      </c>
      <c r="B8" s="9">
        <v>0.60774440006944652</v>
      </c>
      <c r="C8" s="4">
        <v>-7.6</v>
      </c>
      <c r="D8" s="4">
        <v>-4.09</v>
      </c>
      <c r="E8" s="9">
        <v>0.02</v>
      </c>
      <c r="F8" s="9">
        <v>-4.5999999999999996</v>
      </c>
      <c r="H8" s="11">
        <v>43899</v>
      </c>
      <c r="I8" s="3">
        <f t="shared" si="1"/>
        <v>-0.4257931385521716</v>
      </c>
      <c r="J8" s="3">
        <f t="shared" si="2"/>
        <v>6.89</v>
      </c>
      <c r="K8" s="3">
        <f t="shared" si="3"/>
        <v>5.29</v>
      </c>
      <c r="L8" s="3">
        <f t="shared" si="4"/>
        <v>0.57000000000000006</v>
      </c>
      <c r="M8" s="3">
        <f t="shared" si="5"/>
        <v>5.6199999999999992</v>
      </c>
    </row>
    <row r="9" spans="1:13" x14ac:dyDescent="0.15">
      <c r="A9" s="13">
        <v>43900</v>
      </c>
      <c r="B9" s="9">
        <v>1.4756644804970729</v>
      </c>
      <c r="C9" s="4">
        <v>4.9400000000000004</v>
      </c>
      <c r="D9" s="4">
        <v>3.01</v>
      </c>
      <c r="E9" s="9">
        <v>0.77</v>
      </c>
      <c r="F9" s="9">
        <v>3.87</v>
      </c>
      <c r="H9" s="11">
        <v>43900</v>
      </c>
      <c r="I9" s="3">
        <f t="shared" si="1"/>
        <v>0.13207991957237364</v>
      </c>
      <c r="J9" s="3">
        <f t="shared" si="2"/>
        <v>-11.54</v>
      </c>
      <c r="K9" s="3">
        <f t="shared" si="3"/>
        <v>-6.1</v>
      </c>
      <c r="L9" s="3">
        <f t="shared" si="4"/>
        <v>0.25</v>
      </c>
      <c r="M9" s="3">
        <f t="shared" si="5"/>
        <v>-7.4699999999999989</v>
      </c>
    </row>
    <row r="10" spans="1:13" x14ac:dyDescent="0.15">
      <c r="A10" s="13">
        <v>43901</v>
      </c>
      <c r="B10" s="9">
        <v>0.16157836550726909</v>
      </c>
      <c r="C10" s="4">
        <v>-4.8899999999999997</v>
      </c>
      <c r="D10" s="4">
        <v>-6.43</v>
      </c>
      <c r="E10" s="9">
        <v>-0.17</v>
      </c>
      <c r="F10" s="9">
        <v>-7.43</v>
      </c>
      <c r="H10" s="11">
        <v>43901</v>
      </c>
      <c r="I10" s="3">
        <f t="shared" si="1"/>
        <v>2.314086114989804</v>
      </c>
      <c r="J10" s="3">
        <f t="shared" si="2"/>
        <v>10.83</v>
      </c>
      <c r="K10" s="3">
        <f t="shared" si="3"/>
        <v>10.44</v>
      </c>
      <c r="L10" s="3">
        <f t="shared" si="4"/>
        <v>1.94</v>
      </c>
      <c r="M10" s="3">
        <f t="shared" si="5"/>
        <v>12.3</v>
      </c>
    </row>
    <row r="11" spans="1:13" x14ac:dyDescent="0.15">
      <c r="A11" s="13">
        <v>43902</v>
      </c>
      <c r="B11" s="9">
        <v>0.5858380030565441</v>
      </c>
      <c r="C11" s="4">
        <v>-9.51</v>
      </c>
      <c r="D11" s="4">
        <v>-8.36</v>
      </c>
      <c r="E11" s="9">
        <v>1.19</v>
      </c>
      <c r="F11" s="9">
        <v>-8.74</v>
      </c>
      <c r="H11" s="11">
        <v>43902</v>
      </c>
      <c r="I11" s="3">
        <f t="shared" si="1"/>
        <v>0.57574036245072502</v>
      </c>
      <c r="J11" s="3">
        <f t="shared" si="2"/>
        <v>5.62</v>
      </c>
      <c r="K11" s="3">
        <f t="shared" si="3"/>
        <v>2.9299999999999997</v>
      </c>
      <c r="L11" s="3">
        <f t="shared" si="4"/>
        <v>-0.35999999999999988</v>
      </c>
      <c r="M11" s="3">
        <f t="shared" si="5"/>
        <v>2.3100000000000005</v>
      </c>
    </row>
    <row r="12" spans="1:13" x14ac:dyDescent="0.15">
      <c r="A12" s="13">
        <v>43903</v>
      </c>
      <c r="B12" s="9">
        <v>-1.6881911032325503E-2</v>
      </c>
      <c r="C12" s="4">
        <v>9.2899999999999991</v>
      </c>
      <c r="D12" s="4">
        <v>10.4</v>
      </c>
      <c r="E12" s="9">
        <v>-0.41</v>
      </c>
      <c r="F12" s="9">
        <v>12.01</v>
      </c>
      <c r="H12" s="11">
        <v>43903</v>
      </c>
      <c r="I12" s="3">
        <f t="shared" ref="I12:I25" si="6">(1+(B11-B12))</f>
        <v>1.6027199140888695</v>
      </c>
      <c r="J12" s="3">
        <f t="shared" si="2"/>
        <v>-17.799999999999997</v>
      </c>
      <c r="K12" s="3">
        <f t="shared" si="3"/>
        <v>-17.759999999999998</v>
      </c>
      <c r="L12" s="3">
        <f t="shared" si="4"/>
        <v>2.5999999999999996</v>
      </c>
      <c r="M12" s="3">
        <f t="shared" si="5"/>
        <v>-19.75</v>
      </c>
    </row>
    <row r="13" spans="1:13" x14ac:dyDescent="0.15">
      <c r="A13" s="13">
        <v>43906</v>
      </c>
      <c r="B13" s="9">
        <v>1.4689742507387038</v>
      </c>
      <c r="C13" s="4">
        <v>-11.98</v>
      </c>
      <c r="D13" s="4">
        <v>-4.54</v>
      </c>
      <c r="E13" s="9">
        <v>1.43</v>
      </c>
      <c r="F13" s="9">
        <v>-4.88</v>
      </c>
      <c r="H13" s="11">
        <v>43906</v>
      </c>
      <c r="I13" s="3">
        <f t="shared" si="6"/>
        <v>-0.4858561617710293</v>
      </c>
      <c r="J13" s="3">
        <f t="shared" si="2"/>
        <v>22.27</v>
      </c>
      <c r="K13" s="3">
        <f t="shared" si="3"/>
        <v>15.940000000000001</v>
      </c>
      <c r="L13" s="3">
        <f t="shared" si="4"/>
        <v>-0.83999999999999986</v>
      </c>
      <c r="M13" s="3">
        <f t="shared" si="5"/>
        <v>17.89</v>
      </c>
    </row>
    <row r="14" spans="1:13" x14ac:dyDescent="0.15">
      <c r="A14" s="13">
        <v>43907</v>
      </c>
      <c r="B14" s="9">
        <v>-0.51584990431816669</v>
      </c>
      <c r="C14" s="4">
        <v>6</v>
      </c>
      <c r="D14" s="4">
        <v>9.6300000000000008</v>
      </c>
      <c r="E14" s="9">
        <v>-1.35</v>
      </c>
      <c r="F14" s="9">
        <v>8.98</v>
      </c>
      <c r="H14" s="11">
        <v>43907</v>
      </c>
      <c r="I14" s="3">
        <f t="shared" si="6"/>
        <v>2.9848241550568706</v>
      </c>
      <c r="J14" s="3">
        <f t="shared" si="2"/>
        <v>-16.98</v>
      </c>
      <c r="K14" s="3">
        <f t="shared" si="3"/>
        <v>-13.170000000000002</v>
      </c>
      <c r="L14" s="3">
        <f t="shared" si="4"/>
        <v>3.7800000000000002</v>
      </c>
      <c r="M14" s="3">
        <f t="shared" si="5"/>
        <v>-12.86</v>
      </c>
    </row>
    <row r="15" spans="1:13" x14ac:dyDescent="0.15">
      <c r="A15" s="13">
        <v>43908</v>
      </c>
      <c r="B15" s="9">
        <v>0.30944216776783856</v>
      </c>
      <c r="C15" s="4">
        <v>-5.18</v>
      </c>
      <c r="D15" s="4">
        <v>-1.83</v>
      </c>
      <c r="E15" s="9">
        <v>-0.81</v>
      </c>
      <c r="F15" s="9">
        <v>-0.67</v>
      </c>
      <c r="H15" s="11">
        <v>43908</v>
      </c>
      <c r="I15" s="3">
        <f t="shared" si="6"/>
        <v>0.1747079279139947</v>
      </c>
      <c r="J15" s="3">
        <f t="shared" si="2"/>
        <v>12.18</v>
      </c>
      <c r="K15" s="3">
        <f t="shared" si="3"/>
        <v>12.46</v>
      </c>
      <c r="L15" s="3">
        <f t="shared" si="4"/>
        <v>0.45999999999999996</v>
      </c>
      <c r="M15" s="3">
        <f t="shared" si="5"/>
        <v>10.65</v>
      </c>
    </row>
    <row r="16" spans="1:13" x14ac:dyDescent="0.15">
      <c r="A16" s="13">
        <v>43909</v>
      </c>
      <c r="B16" s="9">
        <v>-0.30848757712189812</v>
      </c>
      <c r="C16" s="4">
        <v>0.47</v>
      </c>
      <c r="D16" s="4">
        <v>-4.72</v>
      </c>
      <c r="E16" s="9">
        <v>-0.97</v>
      </c>
      <c r="F16" s="9">
        <v>-5.64</v>
      </c>
      <c r="H16" s="11">
        <v>43909</v>
      </c>
      <c r="I16" s="3">
        <f t="shared" si="6"/>
        <v>1.6179297448897367</v>
      </c>
      <c r="J16" s="3">
        <f t="shared" si="2"/>
        <v>-4.6499999999999995</v>
      </c>
      <c r="K16" s="3">
        <f t="shared" si="3"/>
        <v>3.8899999999999997</v>
      </c>
      <c r="L16" s="3">
        <f t="shared" si="4"/>
        <v>1.1599999999999999</v>
      </c>
      <c r="M16" s="3">
        <f t="shared" si="5"/>
        <v>5.97</v>
      </c>
    </row>
    <row r="17" spans="1:13" x14ac:dyDescent="0.15">
      <c r="A17" s="13">
        <v>43910</v>
      </c>
      <c r="B17" s="9">
        <v>1.5806640461654267</v>
      </c>
      <c r="C17" s="4">
        <v>-4.34</v>
      </c>
      <c r="D17" s="4">
        <v>-7.11</v>
      </c>
      <c r="E17" s="9">
        <v>1.1100000000000001</v>
      </c>
      <c r="F17" s="9">
        <v>-7.58</v>
      </c>
      <c r="H17" s="11">
        <v>43910</v>
      </c>
      <c r="I17" s="3">
        <f t="shared" si="6"/>
        <v>-0.88915162328732489</v>
      </c>
      <c r="J17" s="3">
        <f t="shared" si="2"/>
        <v>5.81</v>
      </c>
      <c r="K17" s="3">
        <f t="shared" si="3"/>
        <v>3.3900000000000006</v>
      </c>
      <c r="L17" s="3">
        <f t="shared" si="4"/>
        <v>-1.08</v>
      </c>
      <c r="M17" s="3">
        <f t="shared" si="5"/>
        <v>2.9400000000000004</v>
      </c>
    </row>
    <row r="18" spans="1:13" x14ac:dyDescent="0.15">
      <c r="A18" s="13">
        <v>43913</v>
      </c>
      <c r="B18" s="9">
        <v>0.48575662769636374</v>
      </c>
      <c r="C18" s="4">
        <v>-2.93</v>
      </c>
      <c r="D18" s="4">
        <v>-4.47</v>
      </c>
      <c r="E18" s="9">
        <v>0.26</v>
      </c>
      <c r="F18" s="9">
        <v>-4.62</v>
      </c>
      <c r="H18" s="11">
        <v>43913</v>
      </c>
      <c r="I18" s="3">
        <f t="shared" si="6"/>
        <v>2.094907418469063</v>
      </c>
      <c r="J18" s="3">
        <f t="shared" si="2"/>
        <v>-0.4099999999999997</v>
      </c>
      <c r="K18" s="3">
        <f t="shared" si="3"/>
        <v>-1.6400000000000006</v>
      </c>
      <c r="L18" s="3">
        <f t="shared" si="4"/>
        <v>1.85</v>
      </c>
      <c r="M18" s="3">
        <f t="shared" si="5"/>
        <v>-1.96</v>
      </c>
    </row>
    <row r="19" spans="1:13" x14ac:dyDescent="0.15">
      <c r="A19" s="13">
        <v>43914</v>
      </c>
      <c r="B19" s="9">
        <v>-0.11470708725932041</v>
      </c>
      <c r="C19" s="4">
        <v>9.3800000000000008</v>
      </c>
      <c r="D19" s="4">
        <v>4.45</v>
      </c>
      <c r="E19" s="9">
        <v>0.39</v>
      </c>
      <c r="F19" s="9">
        <v>5.7</v>
      </c>
      <c r="H19" s="11">
        <v>43914</v>
      </c>
      <c r="I19" s="3">
        <f t="shared" si="6"/>
        <v>1.6004637149556842</v>
      </c>
      <c r="J19" s="3">
        <f t="shared" si="2"/>
        <v>-11.31</v>
      </c>
      <c r="K19" s="3">
        <f t="shared" si="3"/>
        <v>-7.92</v>
      </c>
      <c r="L19" s="3">
        <f t="shared" si="4"/>
        <v>0.87</v>
      </c>
      <c r="M19" s="3">
        <f t="shared" si="5"/>
        <v>-9.32</v>
      </c>
    </row>
    <row r="20" spans="1:13" x14ac:dyDescent="0.15">
      <c r="A20" s="13">
        <v>43915</v>
      </c>
      <c r="B20" s="9">
        <v>0.9597243868427543</v>
      </c>
      <c r="C20" s="4">
        <v>1.1499999999999999</v>
      </c>
      <c r="D20" s="4">
        <v>-2.13</v>
      </c>
      <c r="E20" s="9">
        <v>1</v>
      </c>
      <c r="F20" s="9">
        <v>-2.2799999999999998</v>
      </c>
      <c r="H20" s="11">
        <v>43915</v>
      </c>
      <c r="I20" s="3">
        <f t="shared" si="6"/>
        <v>-7.4431474102074624E-2</v>
      </c>
      <c r="J20" s="3">
        <f t="shared" si="2"/>
        <v>9.23</v>
      </c>
      <c r="K20" s="3">
        <f t="shared" si="3"/>
        <v>7.58</v>
      </c>
      <c r="L20" s="3">
        <f t="shared" si="4"/>
        <v>0.39</v>
      </c>
      <c r="M20" s="3">
        <f t="shared" si="5"/>
        <v>8.98</v>
      </c>
    </row>
    <row r="21" spans="1:13" x14ac:dyDescent="0.15">
      <c r="A21" s="13">
        <v>43916</v>
      </c>
      <c r="B21" s="9">
        <v>0.21936951576210273</v>
      </c>
      <c r="C21" s="4">
        <v>6.24</v>
      </c>
      <c r="D21" s="4">
        <v>6.25</v>
      </c>
      <c r="E21" s="9">
        <v>0.13</v>
      </c>
      <c r="F21" s="9">
        <v>6.4</v>
      </c>
      <c r="H21" s="11">
        <v>43916</v>
      </c>
      <c r="I21" s="3">
        <f t="shared" si="6"/>
        <v>1.7403548710806516</v>
      </c>
      <c r="J21" s="3">
        <f t="shared" si="2"/>
        <v>-4.09</v>
      </c>
      <c r="K21" s="3">
        <f t="shared" si="3"/>
        <v>-7.379999999999999</v>
      </c>
      <c r="L21" s="3">
        <f t="shared" si="4"/>
        <v>1.87</v>
      </c>
      <c r="M21" s="3">
        <f t="shared" si="5"/>
        <v>-7.68</v>
      </c>
    </row>
    <row r="22" spans="1:13" x14ac:dyDescent="0.15">
      <c r="A22" s="13">
        <v>43917</v>
      </c>
      <c r="B22" s="9">
        <v>0.43777867855695685</v>
      </c>
      <c r="C22" s="4">
        <v>-3.37</v>
      </c>
      <c r="D22" s="4">
        <v>2.06</v>
      </c>
      <c r="E22" s="9">
        <v>0.54</v>
      </c>
      <c r="F22" s="9">
        <v>2.6</v>
      </c>
      <c r="H22" s="11">
        <v>43917</v>
      </c>
      <c r="I22" s="3">
        <f t="shared" si="6"/>
        <v>0.78159083720514588</v>
      </c>
      <c r="J22" s="3">
        <f t="shared" si="2"/>
        <v>10.61</v>
      </c>
      <c r="K22" s="3">
        <f t="shared" si="3"/>
        <v>5.1899999999999995</v>
      </c>
      <c r="L22" s="3">
        <f t="shared" si="4"/>
        <v>0.59</v>
      </c>
      <c r="M22" s="3">
        <f t="shared" si="5"/>
        <v>4.8000000000000007</v>
      </c>
    </row>
    <row r="23" spans="1:13" x14ac:dyDescent="0.15">
      <c r="A23" s="13">
        <v>43920</v>
      </c>
      <c r="B23" s="9">
        <v>8.0716764872105218E-3</v>
      </c>
      <c r="C23" s="4">
        <v>3.35</v>
      </c>
      <c r="D23" s="4">
        <v>4.05</v>
      </c>
      <c r="E23" s="9">
        <v>1.74</v>
      </c>
      <c r="F23" s="9">
        <v>4.38</v>
      </c>
      <c r="H23" s="11">
        <v>43920</v>
      </c>
      <c r="I23" s="3">
        <f t="shared" si="6"/>
        <v>1.4297070020697462</v>
      </c>
      <c r="J23" s="3">
        <f t="shared" si="2"/>
        <v>-5.7200000000000006</v>
      </c>
      <c r="K23" s="3">
        <f t="shared" si="3"/>
        <v>-0.98999999999999977</v>
      </c>
      <c r="L23" s="3">
        <f t="shared" si="4"/>
        <v>-0.19999999999999996</v>
      </c>
      <c r="M23" s="3">
        <f t="shared" si="5"/>
        <v>-0.7799999999999998</v>
      </c>
    </row>
    <row r="24" spans="1:13" x14ac:dyDescent="0.15">
      <c r="A24" s="13">
        <v>43921</v>
      </c>
      <c r="B24" s="9">
        <v>-0.91202582728007242</v>
      </c>
      <c r="C24" s="4">
        <v>-1.6</v>
      </c>
      <c r="D24" s="4">
        <v>-3.4</v>
      </c>
      <c r="E24" s="9">
        <v>-0.35</v>
      </c>
      <c r="F24" s="9">
        <v>-4.3499999999999996</v>
      </c>
      <c r="H24" s="11">
        <v>43921</v>
      </c>
      <c r="I24" s="3">
        <f t="shared" si="6"/>
        <v>1.9200975037672829</v>
      </c>
      <c r="J24" s="3">
        <f t="shared" si="2"/>
        <v>5.95</v>
      </c>
      <c r="K24" s="3">
        <f t="shared" si="3"/>
        <v>8.4499999999999993</v>
      </c>
      <c r="L24" s="3">
        <f t="shared" si="4"/>
        <v>3.09</v>
      </c>
      <c r="M24" s="3">
        <f t="shared" si="5"/>
        <v>9.73</v>
      </c>
    </row>
    <row r="25" spans="1:13" x14ac:dyDescent="0.15">
      <c r="A25" s="13">
        <v>43922</v>
      </c>
      <c r="B25" s="4"/>
      <c r="C25" s="4">
        <v>-4.41</v>
      </c>
      <c r="D25" s="4">
        <v>-0.74</v>
      </c>
      <c r="E25" s="4"/>
      <c r="F25" s="9">
        <v>-0.61</v>
      </c>
      <c r="H25" s="11">
        <v>43922</v>
      </c>
      <c r="I25" s="3">
        <f t="shared" si="6"/>
        <v>8.7974172719927579E-2</v>
      </c>
      <c r="J25" s="3">
        <f t="shared" si="2"/>
        <v>3.81</v>
      </c>
      <c r="K25" s="3">
        <f t="shared" si="3"/>
        <v>-1.6600000000000001</v>
      </c>
      <c r="L25" s="3">
        <f t="shared" si="4"/>
        <v>0.65</v>
      </c>
      <c r="M25" s="3">
        <f t="shared" si="5"/>
        <v>-2.7399999999999998</v>
      </c>
    </row>
    <row r="26" spans="1:13" x14ac:dyDescent="0.15">
      <c r="I26" s="3"/>
    </row>
    <row r="27" spans="1:13" x14ac:dyDescent="0.15">
      <c r="I27" s="3"/>
    </row>
    <row r="28" spans="1:13" x14ac:dyDescent="0.15">
      <c r="I28" s="3"/>
    </row>
    <row r="29" spans="1:13" x14ac:dyDescent="0.15">
      <c r="I29" s="3"/>
    </row>
  </sheetData>
  <mergeCells count="2">
    <mergeCell ref="B1:D1"/>
    <mergeCell ref="I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zoomScaleNormal="100" workbookViewId="0"/>
  </sheetViews>
  <sheetFormatPr baseColWidth="10" defaultRowHeight="13" x14ac:dyDescent="0.15"/>
  <cols>
    <col min="1" max="256" width="8.83203125" customWidth="1"/>
  </cols>
  <sheetData/>
  <pageMargins left="0.75" right="0.75" top="1" bottom="1" header="0.5" footer="0.5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KMB Share Price</vt:lpstr>
      <vt:lpstr>CL Share Price</vt:lpstr>
      <vt:lpstr>PG Share Price</vt:lpstr>
      <vt:lpstr>S&amp;P 500 Index Value</vt:lpstr>
      <vt:lpstr>S&amp;P 500 Household Products</vt:lpstr>
      <vt:lpstr>Daily Returns &amp; Scatterplot</vt:lpstr>
      <vt:lpstr>Geometric Average</vt:lpstr>
      <vt:lpstr>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Alexa Canaan '20</cp:lastModifiedBy>
  <dcterms:created xsi:type="dcterms:W3CDTF">2020-04-08T01:02:47Z</dcterms:created>
  <dcterms:modified xsi:type="dcterms:W3CDTF">2020-04-08T16:19:43Z</dcterms:modified>
</cp:coreProperties>
</file>